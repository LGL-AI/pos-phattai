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<sst xmlns="http://schemas.openxmlformats.org/spreadsheetml/2006/main" count="1315" uniqueCount="851">
  <si>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</si>
  <si>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</si>
  <si>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</si>
  <si>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</si>
  <si>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</si>
  <si>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</si>
  <si>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</si>
  <si>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</si>
  <si>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</si>
  <si>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</si>
  <si>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</si>
  <si>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</si>
  <si>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</si>
  <si>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</si>
  <si>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</si>
  <si>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</si>
  <si>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</si>
  <si>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</si>
  <si>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</si>
  <si>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</si>
  <si>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</si>
  <si>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</si>
  <si>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</si>
  <si>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</si>
  <si>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</si>
  <si>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</si>
  <si>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</si>
  <si>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</si>
  <si>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</si>
  <si>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</si>
  <si>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</si>
  <si>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</si>
  <si>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</si>
  <si>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</si>
  <si>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</si>
  <si>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</si>
  <si>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</si>
  <si>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</si>
  <si>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</si>
  <si>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</si>
  <si>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</si>
  <si>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</si>
  <si>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</si>
  <si>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</si>
  <si>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</si>
  <si>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</si>
  <si>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</si>
  <si>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</si>
  <si>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</si>
  <si>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</si>
  <si>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</si>
  <si>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</si>
  <si>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</si>
  <si>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</si>
  <si>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</si>
  <si>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</si>
  <si>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</si>
  <si>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</si>
  <si>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</si>
  <si>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</si>
  <si>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</si>
  <si>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</si>
  <si>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</si>
  <si>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</si>
  <si>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</si>
  <si>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</si>
  <si>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</si>
  <si>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</si>
  <si>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</si>
  <si>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</si>
  <si>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</si>
  <si>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</si>
  <si>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</si>
  <si>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</si>
  <si>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</si>
  <si>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</si>
  <si>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</si>
  <si>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</si>
  <si>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</si>
  <si>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</si>
  <si>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</si>
  <si>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</si>
  <si>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</si>
  <si>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</si>
  <si>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</si>
  <si>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</si>
  <si>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</si>
  <si>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</si>
  <si>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</si>
  <si>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</si>
  <si>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</si>
  <si>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</si>
  <si>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</si>
  <si>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</si>
  <si>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</si>
  <si>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</si>
  <si>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</si>
  <si>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</si>
  <si>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</si>
  <si>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</si>
  <si>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</si>
  <si>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</si>
  <si>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</si>
  <si>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</si>
  <si>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</si>
  <si>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</si>
  <si>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</si>
  <si>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</si>
  <si>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</si>
  <si>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</si>
  <si>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</si>
  <si>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</si>
  <si>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</si>
  <si>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</si>
  <si>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</si>
  <si>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</si>
  <si>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</si>
  <si>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</si>
  <si>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</si>
  <si>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</si>
  <si>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</si>
  <si>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</si>
  <si>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</si>
  <si>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</si>
  <si>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</si>
  <si>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</si>
  <si>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</si>
  <si>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</si>
  <si>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</si>
  <si>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</si>
  <si>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</si>
  <si>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</si>
  <si>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</si>
  <si>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</si>
  <si>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</si>
  <si>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</si>
  <si>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</si>
  <si>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</si>
  <si>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</si>
  <si>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</si>
  <si>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</si>
  <si>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</si>
  <si>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</si>
  <si>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</si>
  <si>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</si>
  <si>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</si>
  <si>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</si>
  <si>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</si>
  <si>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</si>
  <si>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</si>
  <si>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</si>
  <si>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</si>
  <si>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</si>
  <si>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</si>
  <si>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</si>
  <si>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</si>
  <si>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</si>
  <si>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</si>
  <si>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</si>
  <si>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</si>
  <si>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</si>
  <si>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</si>
  <si>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</si>
  <si>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</si>
  <si>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</si>
  <si>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</si>
  <si>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</si>
  <si>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</si>
  <si>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</si>
  <si>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</si>
  <si>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</si>
  <si>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</si>
  <si>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</si>
  <si>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</si>
  <si>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</si>
  <si>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</si>
  <si>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</si>
  <si>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</si>
  <si>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</si>
  <si>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</si>
  <si>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</si>
  <si>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</si>
  <si>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</si>
  <si>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</si>
  <si>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</si>
  <si>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</si>
  <si>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</si>
  <si>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</si>
  <si>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</si>
  <si>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</si>
  <si>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</si>
  <si>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</si>
  <si>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</si>
  <si>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</si>
  <si>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</si>
  <si>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</si>
  <si>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</si>
  <si>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</si>
  <si>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</si>
  <si>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</si>
  <si>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</si>
  <si>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</si>
  <si>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</si>
  <si>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</si>
  <si>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</si>
  <si>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</si>
  <si>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</si>
  <si>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</si>
  <si>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</si>
  <si>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</si>
  <si>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</si>
  <si>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</si>
  <si>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</si>
  <si>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</si>
  <si>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</si>
  <si>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</si>
  <si>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</si>
  <si>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</si>
  <si>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</si>
  <si>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</si>
  <si>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</si>
  <si>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</si>
  <si>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</si>
  <si>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</si>
  <si>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</si>
  <si>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</si>
  <si>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</si>
  <si>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</si>
  <si>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</si>
  <si>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</si>
  <si>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</si>
  <si>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</si>
  <si>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</si>
  <si>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</si>
  <si>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</si>
  <si>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</si>
  <si>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</si>
  <si>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</si>
  <si>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</si>
  <si>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</si>
  <si>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</si>
  <si>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</si>
  <si>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</si>
  <si>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</si>
  <si>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</si>
  <si>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</si>
  <si>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</si>
  <si>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</si>
  <si>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</si>
  <si>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</si>
  <si>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</si>
  <si>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</si>
  <si>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</si>
  <si>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</si>
  <si>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</si>
  <si>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</si>
  <si>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</si>
  <si>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</si>
  <si>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</si>
  <si>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</si>
  <si>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</si>
  <si>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</si>
  <si>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</si>
  <si>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</si>
  <si>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</si>
  <si>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</si>
  <si>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</si>
  <si>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</si>
  <si>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</si>
  <si>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</si>
  <si>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</si>
  <si>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</si>
  <si>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</si>
  <si>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</si>
  <si>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</si>
  <si>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</si>
  <si>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</si>
  <si>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</si>
  <si>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</si>
  <si>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</si>
  <si>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</si>
  <si>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</si>
  <si>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</si>
  <si>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</si>
  <si>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</si>
  <si>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</si>
  <si>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</si>
  <si>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</si>
  <si>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</si>
  <si>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</si>
  <si>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</si>
  <si>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</si>
  <si>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</si>
  <si>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</si>
  <si>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</si>
  <si>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</si>
  <si>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</si>
  <si>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</si>
  <si>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</si>
  <si>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</si>
  <si>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</si>
  <si>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</si>
  <si>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</si>
  <si>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</si>
  <si>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</si>
  <si>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</si>
  <si>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</si>
  <si>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</si>
  <si>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</si>
  <si>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</si>
  <si>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</si>
  <si>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</si>
  <si>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</si>
  <si>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</si>
  <si>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</si>
  <si>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</si>
  <si>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</si>
  <si>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</si>
  <si>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</si>
  <si>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</si>
  <si>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</si>
  <si>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</si>
  <si>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</si>
  <si>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</si>
  <si>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</si>
  <si>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</si>
  <si>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</si>
  <si>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</si>
  <si>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</si>
  <si>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</si>
  <si>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</si>
  <si>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</si>
  <si>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</si>
  <si>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</si>
  <si>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</si>
  <si>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</si>
  <si>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</si>
  <si>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</si>
  <si>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</si>
  <si>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</si>
  <si>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</si>
  <si>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</si>
  <si>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</si>
  <si>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</si>
  <si>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</si>
  <si>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</si>
  <si>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</si>
  <si>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</si>
  <si>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</si>
  <si>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</si>
  <si>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</si>
  <si>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</si>
  <si>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</si>
  <si>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</si>
  <si>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</si>
  <si>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</si>
  <si>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</si>
  <si>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</si>
  <si>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</si>
  <si>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</si>
  <si>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</si>
  <si>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</si>
  <si>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</si>
  <si>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</si>
  <si>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</si>
  <si>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</si>
  <si>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</si>
  <si>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</si>
  <si>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</si>
  <si>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</si>
  <si>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</si>
  <si>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</si>
  <si>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</si>
  <si>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</si>
  <si>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</si>
  <si>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</si>
  <si>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</si>
  <si>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</si>
  <si>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</si>
  <si>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</si>
  <si>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</si>
  <si>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</si>
  <si>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</si>
  <si>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</si>
  <si>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</si>
  <si>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</si>
  <si>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</si>
  <si>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</si>
  <si>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</si>
  <si>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</si>
  <si>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</si>
  <si>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</si>
  <si>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</si>
  <si>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</si>
  <si>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</si>
  <si>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</si>
  <si>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</si>
  <si>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</si>
  <si>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</si>
  <si>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</si>
  <si>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</si>
  <si>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</si>
  <si>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</si>
  <si>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</si>
  <si>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</si>
  <si>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</si>
  <si>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</si>
  <si>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</si>
  <si>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</si>
  <si>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</si>
  <si>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</si>
  <si>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</si>
  <si>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</si>
  <si>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</si>
  <si>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</si>
  <si>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</si>
  <si>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</si>
  <si>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</si>
  <si>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</si>
  <si>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</si>
  <si>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</si>
  <si>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</si>
  <si>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</si>
  <si>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</si>
  <si>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</si>
  <si>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</si>
  <si>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</si>
  <si>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</si>
  <si>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</si>
  <si>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</si>
  <si>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</si>
  <si>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</si>
  <si>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</si>
  <si>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</si>
  <si>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</si>
  <si>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</si>
  <si>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</si>
  <si>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</si>
  <si>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</si>
  <si>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</si>
  <si>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</si>
  <si>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</si>
  <si>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</si>
  <si>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</si>
  <si>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</si>
  <si>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</si>
  <si>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</si>
  <si>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</si>
  <si>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</si>
  <si>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</si>
  <si>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Chủ tiệm gửi ảnh web nhân viên: 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</si>
  <si>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</si>
  <si>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</si>
  <si>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</si>
  <si>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</si>
  <si>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</si>
  <si>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</si>
  <si>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</si>
  <si>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</si>
  <si>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</si>
  <si>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</si>
  <si>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Chủ tiệm báo: 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</si>
  <si>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</si>
  <si>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</si>
  <si>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</si>
  <si>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</si>
  <si>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</si>
  <si>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</si>
  <si>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</si>
  <si>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yêu cầu: 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</si>
  <si>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</si>
  <si>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</si>
  <si>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</si>
  <si>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</si>
  <si>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</si>
  <si>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</si>
  <si>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</si>
  <si>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</si>
  <si>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</si>
  <si>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run 37322764520 (main 0b3e27c): 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</si>
  <si>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</si>
  <si>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</si>
  <si>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</si>
  <si>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</si>
  <si>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</si>
  <si>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PT-46</t>
  </si>
  <si>
    <t xml:space="preserve">scripts/sim-browser.mjs case "Handheld: pay cash with change; the receipt goes to the SUNMI printer…"</t>
  </si>
  <si>
    <t xml:space="preserve">CI run 37324875053 (main 8627bf7): CI đỏ với "no receipt printed" sau khi thu tiền mặt, trong khi cùng commit xanh trên nhánh; app vẫn in biên lai.</t>
  </si>
  <si>
    <t xml:space="preserve">Case coi mã đơn "-TM" hiện trên màn hình là dấu hiệu đã in xong, rồi đọc ngay hàng đợi in. Nhưng đồng bộ trực tiếp có thể vẽ mã đã trả trước khi callback thanh toán gửi biên lai sang máy in (printReceipt chạy sau). Lỗi ở cách đo, không ở app.</t>
  </si>
  <si>
    <t xml:space="preserve">Case ghi số lệnh in trước khi bấm thanh toán, rồi chờ có lệnh in mới (tối đa 15 s) trước khi đọc. Đã kiểm: bỏ lệnh in khỏi app thì case đỏ. Toàn bộ 105 case xanh khi bóp CPU 6 lần.</t>
  </si>
  <si>
    <t xml:space="preserve">scripts/sim-browser.mjs: "Handheld: pay cash with change; the receipt goes to the SUNMI printer as \"BIÊN LAI THU TIỀN\" naming the cashier".</t>
  </si>
  <si>
    <t xml:space="preserve">Dấu hiệu test đang chờ có thật sự đến sau việc cần kiểm không, hay một đường khác (đồng bộ, realtime) cũng tạo ra nó? Chờ chính kết quả cần kiểm.</t>
  </si>
  <si>
    <t xml:space="preserve">09b0980</t>
  </si>
  <si>
    <t xml:space="preserve">PT-47</t>
  </si>
  <si>
    <t xml:space="preserve">2026-10-06</t>
  </si>
  <si>
    <t xml:space="preserve">Phân ca / Chấm công</t>
  </si>
  <si>
    <t xml:space="preserve">public/staff/staff.js form xếp ca (input type=time); src/management.js POST /api/staff/schedules/bulk</t>
  </si>
  <si>
    <r>
      <rPr>
        <sz val="10"/>
        <rFont val="Arial"/>
        <family val="0"/>
        <charset val="1"/>
      </rPr>
      <t xml:space="preserve">SUNMI V2s, WebView Chromium 83, ngôn ngữ tiếng Trung (ô giờ hiện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t>
    </r>
  </si>
  <si>
    <t xml:space="preserve">Nhập liệu / thông báo lỗi</t>
  </si>
  <si>
    <t xml:space="preserve">Chủ tiệm gửi ảnh máy SUNMI, APK 1.7.79: Tạo ca "CA SANG" cho 3 nhân viên trên máy SUNMI báo "Dữ liệu nhập không hợp lệ", không nói sai ô nào; chủ tiệm không tạo được ca.</t>
  </si>
  <si>
    <r>
      <rPr>
        <sz val="10"/>
        <rFont val="Arial"/>
        <family val="0"/>
        <charset val="1"/>
      </rPr>
      <t xml:space="preserve">Server gộp mọi lỗi lịch (giờ ra không sau giờ vào, tên trống, ngày sai, nhân viên bị khóa) vào một mã INVALID_SCHEDULE với câu chung. Cùng thao tác (3 nhân viên, 10:00–14:00) lưu được trên Chromium, nên request từ máy mang một giá trị bị từ chối. Khả năng cao nhất: ô giờ của WebView hiển thị 12 giờ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chọn "2:00" thành 02:00, trước giờ vào 10:00. Không đọc được request thật trên production để khẳng định.</t>
    </r>
  </si>
  <si>
    <t xml:space="preserve">Giờ vào/ra chọn từ danh sách 24 giờ (05:00–23:30, mỗi 30 phút, kèm "2h chiều"), app kiểm giờ ra sau giờ vào trước khi gửi. Server trả câu nói rõ ô sai: giờ (kèm giá trị), tên ca, ngày, nhân viên bị khóa. Cùng đợt: ca cố định lặp hằng ngày từ ngày bắt đầu (migration 0022).</t>
  </si>
  <si>
    <t xml:space="preserve">tests/phattai-v183-fixed-shifts.test.mjs: "PT-47 a refused schedule says which field is wrong", "the shift form picks hours from a 24-hour list…"; scripts/sim-browser.mjs: "Handheld: a refused end time before the start is explained, not \"Dữ liệu nhập không hợp lệ\"".</t>
  </si>
  <si>
    <r>
      <rPr>
        <sz val="10"/>
        <rFont val="Arial"/>
        <family val="0"/>
        <charset val="1"/>
      </rPr>
      <t xml:space="preserve">Ô giờ/ngày gốc của trình duyệt có hiển thị theo ngôn ngữ máy (12h,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không, và người dùng có thể chọn nhầm không? Mỗi lỗi nhập trả về có nói đúng ô nào sai không?</t>
    </r>
  </si>
  <si>
    <t xml:space="preserve">a7f7a8f</t>
  </si>
  <si>
    <t xml:space="preserve">PT-48</t>
  </si>
  <si>
    <t xml:space="preserve">Đơn hàng / Thông báo</t>
  </si>
  <si>
    <t xml:space="preserve">public/staff/staff.js (announce*, watchOrders, announceCard); android MainActivity.java (speak, chime, keepScreenOn); AndroidManifest.xml (TTS_SERVICE)</t>
  </si>
  <si>
    <t xml:space="preserve">Máy SUNMI ghép loa Bluetooth, app mở liên tục; Phát Tài không có máy quầy</t>
  </si>
  <si>
    <t xml:space="preserve">Thiếu chức năng / vận hành</t>
  </si>
  <si>
    <t xml:space="preserve">Yêu cầu của khách hàng qua chủ tiệm: Khách đặt đơn QR nhưng không có âm thanh báo, nhân viên phải nhìn màn hình mới biết; khách hàng yêu cầu phát loa mỗi khi có đơn. Loa của máy SUNMI rè, không dùng được; quán không có máy quầy; cần đọc bằng tiếng Trung.</t>
  </si>
  <si>
    <t xml:space="preserve">Hệ thống chỉ đẩy đơn mới lên màn hình (realtime + đồng bộ), không có khâu phát âm thanh. Đồng bộ đơn chỉ chạy ở một số màn hình, và khi màn hình tắt thì WebView dừng, nên không thể đọc đơn nếu máy không mở.</t>
  </si>
  <si>
    <r>
      <rPr>
        <sz val="10"/>
        <rFont val="Arial"/>
        <family val="0"/>
        <charset val="1"/>
      </rPr>
      <t xml:space="preserve">Module loa: máy có đơn QR mới phát chuông rồi đọc "5</t>
    </r>
    <r>
      <rPr>
        <sz val="10"/>
        <rFont val="Noto Sans CJK SC"/>
        <family val="2"/>
      </rPr>
      <t xml:space="preserve">号桌，有新订单</t>
    </r>
    <r>
      <rPr>
        <sz val="10"/>
        <rFont val="Arial"/>
        <family val="0"/>
        <charset val="1"/>
      </rPr>
      <t xml:space="preserve">" (</t>
    </r>
    <r>
      <rPr>
        <sz val="10"/>
        <rFont val="Noto Sans CJK SC"/>
        <family val="2"/>
      </rPr>
      <t xml:space="preserve">外带 </t>
    </r>
    <r>
      <rPr>
        <sz val="10"/>
        <rFont val="Arial"/>
        <family val="0"/>
        <charset val="1"/>
      </rPr>
      <t xml:space="preserve">với đơn mang về) bằng giọng tiếng Trung của Android (APK) hoặc của trình duyệt, kèm bảng thông báo; tài khoản bếp nghe mọi đơn mới. Bật/tắt riêng từng máy trong Cài đặt, mặc định tắt; khi bật, APK giữ màn hình luôn sáng. Bộ theo dõi đơn nhẹ chạy ở mọi màn hình; lúc bật loa lấy đơn hiện có làm mốc để không đọc muộn đơn đặt khi đang tắt. Cách dùng: ghép loa Bluetooth với một máy SUNMI, mở app, cắm sạc, bật loa trong Cài đặt.</t>
    </r>
  </si>
  <si>
    <t xml:space="preserve">tests/phattai-v184-announce.test.mjs: "PT-48 what was there when the device opened is not read out…", "PT-48 the kitchen account hears every new order…", "PT-48 off by default, turned on per device…"; scripts/sim-browser.mjs: "Handheld: the speaker is off by default; turned on, the screen stays awake and a customer QR order is read out…", "Handheld: an order the staff enter themselves is not read out", "Handheld: still read out on the order list…", "Handheld: the test button speaks…", "Browser: with no Chinese voice a turned-on page still chimes…".</t>
  </si>
  <si>
    <t xml:space="preserve">Thông báo cần chạy khi người dùng đang ở màn hình nào, và khi màn hình/app tắt thì sao? Bật lại sau khi tắt có đọc lại việc cũ không? Máy thật có giọng đọc của ngôn ngữ cần không (Android 11+ phải khai báo TTS_SERVICE)?</t>
  </si>
  <si>
    <t xml:space="preserve">9faa2bf (đã lên 1.7.90 rồi gỡ khỏi main bằng 026853f theo yêu cầu chủ tiệm 06/10; máy khách giữ 1.7.85; làm tiếp trên nhánh online-v1.7)</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</si>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</sst>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81" headerRowCount="1" totalsRowCount="0" totalsRowShown="0">
  <autoFilter ref="A1:O81"/>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25</v>
      </c>
      <c r="D43" s="6" t="s">
        <v>446</v>
      </c>
      <c r="E43" s="6" t="s">
        <v>447</v>
      </c>
      <c r="F43" s="6" t="s">
        <v>448</v>
      </c>
      <c r="G43" s="7" t="s">
        <v>29</v>
      </c>
      <c r="H43" s="6" t="s">
        <v>449</v>
      </c>
      <c r="I43" s="6" t="s">
        <v>450</v>
      </c>
      <c r="J43" s="6" t="s">
        <v>451</v>
      </c>
      <c r="K43" s="6" t="s">
        <v>452</v>
      </c>
      <c r="L43" s="6" t="s">
        <v>453</v>
      </c>
      <c r="M43" s="6" t="s">
        <v>454</v>
      </c>
      <c r="N43" s="6" t="s">
        <v>455</v>
      </c>
      <c r="O43" s="6" t="s">
        <v>37</v>
      </c>
    </row>
    <row r="44" customFormat="false" ht="79.5" hidden="false" customHeight="true" outlineLevel="0" collapsed="false">
      <c r="A44" s="5" t="s">
        <v>456</v>
      </c>
      <c r="B44" s="6" t="s">
        <v>251</v>
      </c>
      <c r="C44" s="6" t="s">
        <v>25</v>
      </c>
      <c r="D44" s="6" t="s">
        <v>457</v>
      </c>
      <c r="E44" s="6" t="s">
        <v>458</v>
      </c>
      <c r="F44" s="6" t="s">
        <v>459</v>
      </c>
      <c r="G44" s="7" t="s">
        <v>29</v>
      </c>
      <c r="H44" s="6" t="s">
        <v>460</v>
      </c>
      <c r="I44" s="6" t="s">
        <v>461</v>
      </c>
      <c r="J44" s="6" t="s">
        <v>462</v>
      </c>
      <c r="K44" s="6" t="s">
        <v>463</v>
      </c>
      <c r="L44" s="6" t="s">
        <v>464</v>
      </c>
      <c r="M44" s="6" t="s">
        <v>465</v>
      </c>
      <c r="N44" s="6" t="s">
        <v>455</v>
      </c>
      <c r="O44" s="6" t="s">
        <v>37</v>
      </c>
    </row>
    <row r="45" customFormat="false" ht="90.75" hidden="false" customHeight="true" outlineLevel="0" collapsed="false">
      <c r="A45" s="5" t="s">
        <v>466</v>
      </c>
      <c r="B45" s="6" t="s">
        <v>251</v>
      </c>
      <c r="C45" s="6" t="s">
        <v>25</v>
      </c>
      <c r="D45" s="6" t="s">
        <v>457</v>
      </c>
      <c r="E45" s="6" t="s">
        <v>467</v>
      </c>
      <c r="F45" s="6" t="s">
        <v>468</v>
      </c>
      <c r="G45" s="9" t="s">
        <v>73</v>
      </c>
      <c r="H45" s="6" t="s">
        <v>460</v>
      </c>
      <c r="I45" s="6" t="s">
        <v>469</v>
      </c>
      <c r="J45" s="6" t="s">
        <v>470</v>
      </c>
      <c r="K45" s="6" t="s">
        <v>471</v>
      </c>
      <c r="L45" s="6" t="s">
        <v>472</v>
      </c>
      <c r="M45" s="6" t="s">
        <v>473</v>
      </c>
      <c r="N45" s="6" t="s">
        <v>455</v>
      </c>
      <c r="O45" s="6" t="s">
        <v>37</v>
      </c>
    </row>
    <row r="46" customFormat="false" ht="45.75" hidden="false" customHeight="true" outlineLevel="0" collapsed="false">
      <c r="A46" s="5" t="s">
        <v>474</v>
      </c>
      <c r="B46" s="6" t="s">
        <v>251</v>
      </c>
      <c r="C46" s="6" t="s">
        <v>25</v>
      </c>
      <c r="D46" s="6" t="s">
        <v>475</v>
      </c>
      <c r="E46" s="6" t="s">
        <v>476</v>
      </c>
      <c r="F46" s="6" t="s">
        <v>477</v>
      </c>
      <c r="G46" s="9" t="s">
        <v>73</v>
      </c>
      <c r="H46" s="6" t="s">
        <v>478</v>
      </c>
      <c r="I46" s="6" t="s">
        <v>479</v>
      </c>
      <c r="J46" s="6" t="s">
        <v>480</v>
      </c>
      <c r="K46" s="6" t="s">
        <v>481</v>
      </c>
      <c r="L46" s="6" t="s">
        <v>482</v>
      </c>
      <c r="M46" s="6" t="s">
        <v>483</v>
      </c>
      <c r="N46" s="6" t="s">
        <v>484</v>
      </c>
      <c r="O46" s="6" t="s">
        <v>37</v>
      </c>
    </row>
    <row r="47" customFormat="false" ht="45.75" hidden="false" customHeight="true" outlineLevel="0" collapsed="false">
      <c r="A47" s="5" t="s">
        <v>485</v>
      </c>
      <c r="B47" s="6" t="s">
        <v>251</v>
      </c>
      <c r="C47" s="6" t="s">
        <v>25</v>
      </c>
      <c r="D47" s="6" t="s">
        <v>475</v>
      </c>
      <c r="E47" s="6" t="s">
        <v>486</v>
      </c>
      <c r="F47" s="6" t="s">
        <v>477</v>
      </c>
      <c r="G47" s="9" t="s">
        <v>73</v>
      </c>
      <c r="H47" s="6" t="s">
        <v>478</v>
      </c>
      <c r="I47" s="6" t="s">
        <v>487</v>
      </c>
      <c r="J47" s="6" t="s">
        <v>488</v>
      </c>
      <c r="K47" s="6" t="s">
        <v>489</v>
      </c>
      <c r="L47" s="6" t="s">
        <v>490</v>
      </c>
      <c r="M47" s="6" t="s">
        <v>491</v>
      </c>
      <c r="N47" s="6" t="s">
        <v>492</v>
      </c>
      <c r="O47" s="6" t="s">
        <v>37</v>
      </c>
    </row>
    <row r="48" customFormat="false" ht="90.75" hidden="false" customHeight="true" outlineLevel="0" collapsed="false">
      <c r="A48" s="5" t="s">
        <v>493</v>
      </c>
      <c r="B48" s="6" t="s">
        <v>494</v>
      </c>
      <c r="C48" s="6" t="s">
        <v>25</v>
      </c>
      <c r="D48" s="6" t="s">
        <v>495</v>
      </c>
      <c r="E48" s="6" t="s">
        <v>496</v>
      </c>
      <c r="F48" s="6" t="s">
        <v>497</v>
      </c>
      <c r="G48" s="7" t="s">
        <v>29</v>
      </c>
      <c r="H48" s="6" t="s">
        <v>498</v>
      </c>
      <c r="I48" s="6" t="s">
        <v>499</v>
      </c>
      <c r="J48" s="6" t="s">
        <v>500</v>
      </c>
      <c r="K48" s="6" t="s">
        <v>501</v>
      </c>
      <c r="L48" s="6" t="s">
        <v>502</v>
      </c>
      <c r="M48" s="6" t="s">
        <v>503</v>
      </c>
      <c r="N48" s="6" t="s">
        <v>504</v>
      </c>
      <c r="O48" s="6" t="s">
        <v>37</v>
      </c>
    </row>
    <row r="49" customFormat="false" ht="168.75" hidden="false" customHeight="true" outlineLevel="0" collapsed="false">
      <c r="A49" s="5" t="s">
        <v>505</v>
      </c>
      <c r="B49" s="6" t="s">
        <v>494</v>
      </c>
      <c r="C49" s="6" t="s">
        <v>25</v>
      </c>
      <c r="D49" s="6" t="s">
        <v>506</v>
      </c>
      <c r="E49" s="6" t="s">
        <v>507</v>
      </c>
      <c r="F49" s="6" t="s">
        <v>508</v>
      </c>
      <c r="G49" s="7" t="s">
        <v>29</v>
      </c>
      <c r="H49" s="6" t="s">
        <v>509</v>
      </c>
      <c r="I49" s="6" t="s">
        <v>510</v>
      </c>
      <c r="J49" s="6" t="s">
        <v>511</v>
      </c>
      <c r="K49" s="6" t="s">
        <v>512</v>
      </c>
      <c r="L49" s="6" t="s">
        <v>513</v>
      </c>
      <c r="M49" s="6" t="s">
        <v>514</v>
      </c>
      <c r="N49" s="6" t="s">
        <v>515</v>
      </c>
      <c r="O49" s="6" t="s">
        <v>444</v>
      </c>
    </row>
    <row r="50" customFormat="false" ht="37.5" hidden="false" customHeight="true" outlineLevel="0" collapsed="false">
      <c r="A50" s="5" t="s">
        <v>516</v>
      </c>
      <c r="B50" s="6" t="s">
        <v>517</v>
      </c>
      <c r="C50" s="6" t="s">
        <v>518</v>
      </c>
      <c r="D50" s="6" t="s">
        <v>519</v>
      </c>
      <c r="E50" s="6" t="s">
        <v>520</v>
      </c>
      <c r="F50" s="6" t="s">
        <v>521</v>
      </c>
      <c r="G50" s="8" t="s">
        <v>52</v>
      </c>
      <c r="H50" s="6" t="s">
        <v>522</v>
      </c>
      <c r="I50" s="6" t="s">
        <v>523</v>
      </c>
      <c r="J50" s="6" t="s">
        <v>524</v>
      </c>
      <c r="K50" s="6" t="s">
        <v>525</v>
      </c>
      <c r="L50" s="6" t="s">
        <v>526</v>
      </c>
      <c r="M50" s="6" t="s">
        <v>527</v>
      </c>
      <c r="N50" s="6" t="s">
        <v>528</v>
      </c>
      <c r="O50" s="6" t="s">
        <v>37</v>
      </c>
    </row>
    <row r="51" customFormat="false" ht="45.75" hidden="false" customHeight="true" outlineLevel="0" collapsed="false">
      <c r="A51" s="5" t="s">
        <v>529</v>
      </c>
      <c r="B51" s="6" t="s">
        <v>517</v>
      </c>
      <c r="C51" s="6" t="s">
        <v>530</v>
      </c>
      <c r="D51" s="6" t="s">
        <v>531</v>
      </c>
      <c r="E51" s="6" t="s">
        <v>532</v>
      </c>
      <c r="F51" s="6" t="s">
        <v>533</v>
      </c>
      <c r="G51" s="7" t="s">
        <v>29</v>
      </c>
      <c r="H51" s="6" t="s">
        <v>522</v>
      </c>
      <c r="I51" s="6" t="s">
        <v>534</v>
      </c>
      <c r="J51" s="6" t="s">
        <v>535</v>
      </c>
      <c r="K51" s="6" t="s">
        <v>536</v>
      </c>
      <c r="L51" s="6" t="s">
        <v>537</v>
      </c>
      <c r="M51" s="6" t="s">
        <v>538</v>
      </c>
      <c r="N51" s="6" t="s">
        <v>528</v>
      </c>
      <c r="O51" s="6" t="s">
        <v>37</v>
      </c>
    </row>
    <row r="52" customFormat="false" ht="34.5" hidden="false" customHeight="true" outlineLevel="0" collapsed="false">
      <c r="A52" s="5" t="s">
        <v>539</v>
      </c>
      <c r="B52" s="6" t="s">
        <v>517</v>
      </c>
      <c r="C52" s="6" t="s">
        <v>530</v>
      </c>
      <c r="D52" s="6" t="s">
        <v>540</v>
      </c>
      <c r="E52" s="6" t="s">
        <v>541</v>
      </c>
      <c r="F52" s="6" t="s">
        <v>542</v>
      </c>
      <c r="G52" s="8" t="s">
        <v>52</v>
      </c>
      <c r="H52" s="6" t="s">
        <v>522</v>
      </c>
      <c r="I52" s="6" t="s">
        <v>543</v>
      </c>
      <c r="J52" s="6" t="s">
        <v>544</v>
      </c>
      <c r="K52" s="6" t="s">
        <v>545</v>
      </c>
      <c r="L52" s="6" t="s">
        <v>546</v>
      </c>
      <c r="M52" s="6" t="s">
        <v>547</v>
      </c>
      <c r="N52" s="6" t="s">
        <v>548</v>
      </c>
      <c r="O52" s="6" t="s">
        <v>37</v>
      </c>
    </row>
    <row r="53" customFormat="false" ht="34.5" hidden="false" customHeight="true" outlineLevel="0" collapsed="false">
      <c r="A53" s="5" t="s">
        <v>549</v>
      </c>
      <c r="B53" s="6" t="s">
        <v>517</v>
      </c>
      <c r="C53" s="6" t="s">
        <v>530</v>
      </c>
      <c r="D53" s="6" t="s">
        <v>146</v>
      </c>
      <c r="E53" s="6" t="s">
        <v>550</v>
      </c>
      <c r="F53" s="6" t="s">
        <v>551</v>
      </c>
      <c r="G53" s="8" t="s">
        <v>52</v>
      </c>
      <c r="H53" s="6" t="s">
        <v>552</v>
      </c>
      <c r="I53" s="6" t="s">
        <v>553</v>
      </c>
      <c r="J53" s="6" t="s">
        <v>554</v>
      </c>
      <c r="K53" s="6" t="s">
        <v>555</v>
      </c>
      <c r="L53" s="6" t="s">
        <v>556</v>
      </c>
      <c r="M53" s="6" t="s">
        <v>557</v>
      </c>
      <c r="N53" s="6" t="s">
        <v>558</v>
      </c>
      <c r="O53" s="6" t="s">
        <v>37</v>
      </c>
    </row>
    <row r="54" customFormat="false" ht="45.75" hidden="false" customHeight="true" outlineLevel="0" collapsed="false">
      <c r="A54" s="5" t="s">
        <v>559</v>
      </c>
      <c r="B54" s="6" t="s">
        <v>517</v>
      </c>
      <c r="C54" s="6" t="s">
        <v>530</v>
      </c>
      <c r="D54" s="6" t="s">
        <v>560</v>
      </c>
      <c r="E54" s="6" t="s">
        <v>561</v>
      </c>
      <c r="F54" s="6" t="s">
        <v>551</v>
      </c>
      <c r="G54" s="8" t="s">
        <v>52</v>
      </c>
      <c r="H54" s="6" t="s">
        <v>552</v>
      </c>
      <c r="I54" s="6" t="s">
        <v>562</v>
      </c>
      <c r="J54" s="6" t="s">
        <v>563</v>
      </c>
      <c r="K54" s="6" t="s">
        <v>564</v>
      </c>
      <c r="L54" s="6" t="s">
        <v>565</v>
      </c>
      <c r="M54" s="6" t="s">
        <v>566</v>
      </c>
      <c r="N54" s="6" t="s">
        <v>558</v>
      </c>
      <c r="O54" s="6" t="s">
        <v>37</v>
      </c>
    </row>
    <row r="55" customFormat="false" ht="68.25" hidden="false" customHeight="true" outlineLevel="0" collapsed="false">
      <c r="A55" s="5" t="s">
        <v>567</v>
      </c>
      <c r="B55" s="6" t="s">
        <v>517</v>
      </c>
      <c r="C55" s="6" t="s">
        <v>530</v>
      </c>
      <c r="D55" s="6" t="s">
        <v>568</v>
      </c>
      <c r="E55" s="6" t="s">
        <v>569</v>
      </c>
      <c r="F55" s="6" t="s">
        <v>570</v>
      </c>
      <c r="G55" s="7" t="s">
        <v>29</v>
      </c>
      <c r="H55" s="6" t="s">
        <v>552</v>
      </c>
      <c r="I55" s="6" t="s">
        <v>571</v>
      </c>
      <c r="J55" s="6" t="s">
        <v>572</v>
      </c>
      <c r="K55" s="6" t="s">
        <v>573</v>
      </c>
      <c r="L55" s="6" t="s">
        <v>574</v>
      </c>
      <c r="M55" s="6" t="s">
        <v>575</v>
      </c>
      <c r="N55" s="6" t="s">
        <v>558</v>
      </c>
      <c r="O55" s="6" t="s">
        <v>37</v>
      </c>
    </row>
    <row r="56" customFormat="false" ht="68.25" hidden="false" customHeight="true" outlineLevel="0" collapsed="false">
      <c r="A56" s="5" t="s">
        <v>576</v>
      </c>
      <c r="B56" s="6" t="s">
        <v>517</v>
      </c>
      <c r="C56" s="6" t="s">
        <v>530</v>
      </c>
      <c r="D56" s="6" t="s">
        <v>80</v>
      </c>
      <c r="E56" s="6" t="s">
        <v>577</v>
      </c>
      <c r="F56" s="6" t="s">
        <v>551</v>
      </c>
      <c r="G56" s="8" t="s">
        <v>52</v>
      </c>
      <c r="H56" s="6" t="s">
        <v>552</v>
      </c>
      <c r="I56" s="6" t="s">
        <v>578</v>
      </c>
      <c r="J56" s="6" t="s">
        <v>579</v>
      </c>
      <c r="K56" s="6" t="s">
        <v>580</v>
      </c>
      <c r="L56" s="6" t="s">
        <v>581</v>
      </c>
      <c r="M56" s="6" t="s">
        <v>582</v>
      </c>
      <c r="N56" s="6" t="s">
        <v>558</v>
      </c>
      <c r="O56" s="6" t="s">
        <v>37</v>
      </c>
    </row>
    <row r="57" customFormat="false" ht="45.75" hidden="false" customHeight="true" outlineLevel="0" collapsed="false">
      <c r="A57" s="5" t="s">
        <v>583</v>
      </c>
      <c r="B57" s="6" t="s">
        <v>517</v>
      </c>
      <c r="C57" s="6" t="s">
        <v>530</v>
      </c>
      <c r="D57" s="6" t="s">
        <v>584</v>
      </c>
      <c r="E57" s="6" t="s">
        <v>585</v>
      </c>
      <c r="F57" s="6" t="s">
        <v>586</v>
      </c>
      <c r="G57" s="9" t="s">
        <v>73</v>
      </c>
      <c r="H57" s="6" t="s">
        <v>372</v>
      </c>
      <c r="I57" s="6" t="s">
        <v>587</v>
      </c>
      <c r="J57" s="6" t="s">
        <v>588</v>
      </c>
      <c r="K57" s="6" t="s">
        <v>589</v>
      </c>
      <c r="L57" s="6" t="s">
        <v>590</v>
      </c>
      <c r="M57" s="6" t="s">
        <v>591</v>
      </c>
      <c r="N57" s="6" t="s">
        <v>592</v>
      </c>
      <c r="O57" s="6" t="s">
        <v>37</v>
      </c>
    </row>
    <row r="58" customFormat="false" ht="57" hidden="false" customHeight="true" outlineLevel="0" collapsed="false">
      <c r="A58" s="5" t="s">
        <v>593</v>
      </c>
      <c r="B58" s="6" t="s">
        <v>517</v>
      </c>
      <c r="C58" s="6" t="s">
        <v>530</v>
      </c>
      <c r="D58" s="6" t="s">
        <v>594</v>
      </c>
      <c r="E58" s="6" t="s">
        <v>595</v>
      </c>
      <c r="F58" s="6" t="s">
        <v>596</v>
      </c>
      <c r="G58" s="9" t="s">
        <v>73</v>
      </c>
      <c r="H58" s="6" t="s">
        <v>597</v>
      </c>
      <c r="I58" s="6" t="s">
        <v>598</v>
      </c>
      <c r="J58" s="6" t="s">
        <v>599</v>
      </c>
      <c r="K58" s="6" t="s">
        <v>600</v>
      </c>
      <c r="L58" s="6" t="s">
        <v>601</v>
      </c>
      <c r="M58" s="6" t="s">
        <v>602</v>
      </c>
      <c r="N58" s="6" t="s">
        <v>592</v>
      </c>
      <c r="O58" s="6" t="s">
        <v>37</v>
      </c>
    </row>
    <row r="59" customFormat="false" ht="45.75" hidden="false" customHeight="true" outlineLevel="0" collapsed="false">
      <c r="A59" s="5" t="s">
        <v>603</v>
      </c>
      <c r="B59" s="6" t="s">
        <v>517</v>
      </c>
      <c r="C59" s="6" t="s">
        <v>530</v>
      </c>
      <c r="D59" s="6" t="s">
        <v>604</v>
      </c>
      <c r="E59" s="6" t="s">
        <v>605</v>
      </c>
      <c r="F59" s="6" t="s">
        <v>606</v>
      </c>
      <c r="G59" s="9" t="s">
        <v>73</v>
      </c>
      <c r="H59" s="6" t="s">
        <v>53</v>
      </c>
      <c r="I59" s="6" t="s">
        <v>607</v>
      </c>
      <c r="J59" s="6" t="s">
        <v>608</v>
      </c>
      <c r="K59" s="6" t="s">
        <v>609</v>
      </c>
      <c r="L59" s="6" t="s">
        <v>610</v>
      </c>
      <c r="M59" s="6" t="s">
        <v>611</v>
      </c>
      <c r="N59" s="6" t="s">
        <v>612</v>
      </c>
      <c r="O59" s="6" t="s">
        <v>37</v>
      </c>
    </row>
    <row r="60" customFormat="false" ht="57" hidden="false" customHeight="true" outlineLevel="0" collapsed="false">
      <c r="A60" s="5" t="s">
        <v>613</v>
      </c>
      <c r="B60" s="6" t="s">
        <v>517</v>
      </c>
      <c r="C60" s="6" t="s">
        <v>530</v>
      </c>
      <c r="D60" s="6" t="s">
        <v>604</v>
      </c>
      <c r="E60" s="6" t="s">
        <v>614</v>
      </c>
      <c r="F60" s="6" t="s">
        <v>28</v>
      </c>
      <c r="G60" s="7" t="s">
        <v>29</v>
      </c>
      <c r="H60" s="6" t="s">
        <v>30</v>
      </c>
      <c r="I60" s="6" t="s">
        <v>615</v>
      </c>
      <c r="J60" s="6" t="s">
        <v>616</v>
      </c>
      <c r="K60" s="6" t="s">
        <v>617</v>
      </c>
      <c r="L60" s="6" t="s">
        <v>618</v>
      </c>
      <c r="M60" s="6" t="s">
        <v>619</v>
      </c>
      <c r="N60" s="6" t="s">
        <v>612</v>
      </c>
      <c r="O60" s="6" t="s">
        <v>37</v>
      </c>
    </row>
    <row r="61" customFormat="false" ht="68.25" hidden="false" customHeight="true" outlineLevel="0" collapsed="false">
      <c r="A61" s="5" t="s">
        <v>620</v>
      </c>
      <c r="B61" s="6" t="s">
        <v>517</v>
      </c>
      <c r="C61" s="6" t="s">
        <v>530</v>
      </c>
      <c r="D61" s="6" t="s">
        <v>621</v>
      </c>
      <c r="E61" s="6" t="s">
        <v>622</v>
      </c>
      <c r="F61" s="6" t="s">
        <v>623</v>
      </c>
      <c r="G61" s="9" t="s">
        <v>73</v>
      </c>
      <c r="H61" s="6" t="s">
        <v>522</v>
      </c>
      <c r="I61" s="6" t="s">
        <v>624</v>
      </c>
      <c r="J61" s="6" t="s">
        <v>625</v>
      </c>
      <c r="K61" s="6" t="s">
        <v>626</v>
      </c>
      <c r="L61" s="6" t="s">
        <v>627</v>
      </c>
      <c r="M61" s="6" t="s">
        <v>628</v>
      </c>
      <c r="N61" s="6" t="s">
        <v>592</v>
      </c>
      <c r="O61" s="6" t="s">
        <v>37</v>
      </c>
    </row>
    <row r="62" customFormat="false" ht="74.25" hidden="false" customHeight="true" outlineLevel="0" collapsed="false">
      <c r="A62" s="5" t="s">
        <v>629</v>
      </c>
      <c r="B62" s="6" t="s">
        <v>517</v>
      </c>
      <c r="C62" s="6" t="s">
        <v>530</v>
      </c>
      <c r="D62" s="6" t="s">
        <v>630</v>
      </c>
      <c r="E62" s="6" t="s">
        <v>631</v>
      </c>
      <c r="F62" s="6" t="s">
        <v>632</v>
      </c>
      <c r="G62" s="9" t="s">
        <v>73</v>
      </c>
      <c r="H62" s="6" t="s">
        <v>633</v>
      </c>
      <c r="I62" s="6" t="s">
        <v>634</v>
      </c>
      <c r="J62" s="6" t="s">
        <v>635</v>
      </c>
      <c r="K62" s="6" t="s">
        <v>636</v>
      </c>
      <c r="L62" s="6" t="s">
        <v>637</v>
      </c>
      <c r="M62" s="6" t="s">
        <v>638</v>
      </c>
      <c r="N62" s="6" t="s">
        <v>639</v>
      </c>
      <c r="O62" s="6" t="s">
        <v>37</v>
      </c>
    </row>
    <row r="63" customFormat="false" ht="34.5" hidden="false" customHeight="true" outlineLevel="0" collapsed="false">
      <c r="A63" s="5" t="s">
        <v>640</v>
      </c>
      <c r="B63" s="6" t="s">
        <v>517</v>
      </c>
      <c r="C63" s="6" t="s">
        <v>530</v>
      </c>
      <c r="D63" s="6" t="s">
        <v>338</v>
      </c>
      <c r="E63" s="6" t="s">
        <v>641</v>
      </c>
      <c r="F63" s="6" t="s">
        <v>211</v>
      </c>
      <c r="G63" s="8" t="s">
        <v>52</v>
      </c>
      <c r="H63" s="6" t="s">
        <v>149</v>
      </c>
      <c r="I63" s="6" t="s">
        <v>642</v>
      </c>
      <c r="J63" s="6" t="s">
        <v>643</v>
      </c>
      <c r="K63" s="6" t="s">
        <v>644</v>
      </c>
      <c r="L63" s="6" t="s">
        <v>645</v>
      </c>
      <c r="M63" s="6" t="s">
        <v>646</v>
      </c>
      <c r="N63" s="6" t="s">
        <v>647</v>
      </c>
      <c r="O63" s="6" t="s">
        <v>37</v>
      </c>
    </row>
    <row r="64" customFormat="false" ht="57" hidden="false" customHeight="true" outlineLevel="0" collapsed="false">
      <c r="A64" s="5" t="s">
        <v>648</v>
      </c>
      <c r="B64" s="6" t="s">
        <v>517</v>
      </c>
      <c r="C64" s="6" t="s">
        <v>518</v>
      </c>
      <c r="D64" s="6" t="s">
        <v>146</v>
      </c>
      <c r="E64" s="6" t="s">
        <v>649</v>
      </c>
      <c r="F64" s="6" t="s">
        <v>650</v>
      </c>
      <c r="G64" s="8" t="s">
        <v>52</v>
      </c>
      <c r="H64" s="6" t="s">
        <v>149</v>
      </c>
      <c r="I64" s="6" t="s">
        <v>651</v>
      </c>
      <c r="J64" s="6" t="s">
        <v>652</v>
      </c>
      <c r="K64" s="6" t="s">
        <v>653</v>
      </c>
      <c r="L64" s="6" t="s">
        <v>610</v>
      </c>
      <c r="M64" s="6" t="s">
        <v>654</v>
      </c>
      <c r="N64" s="6" t="s">
        <v>655</v>
      </c>
      <c r="O64" s="6" t="s">
        <v>37</v>
      </c>
    </row>
    <row r="65" customFormat="false" ht="68.25" hidden="false" customHeight="true" outlineLevel="0" collapsed="false">
      <c r="A65" s="5" t="s">
        <v>656</v>
      </c>
      <c r="B65" s="6" t="s">
        <v>517</v>
      </c>
      <c r="C65" s="6" t="s">
        <v>530</v>
      </c>
      <c r="D65" s="6" t="s">
        <v>306</v>
      </c>
      <c r="E65" s="6" t="s">
        <v>307</v>
      </c>
      <c r="F65" s="6" t="s">
        <v>657</v>
      </c>
      <c r="G65" s="9" t="s">
        <v>73</v>
      </c>
      <c r="H65" s="6" t="s">
        <v>309</v>
      </c>
      <c r="I65" s="6" t="s">
        <v>658</v>
      </c>
      <c r="J65" s="6" t="s">
        <v>659</v>
      </c>
      <c r="K65" s="6" t="s">
        <v>660</v>
      </c>
      <c r="L65" s="6" t="s">
        <v>661</v>
      </c>
      <c r="M65" s="6" t="s">
        <v>662</v>
      </c>
      <c r="N65" s="6" t="s">
        <v>663</v>
      </c>
      <c r="O65" s="6" t="s">
        <v>37</v>
      </c>
    </row>
    <row r="66" customFormat="false" ht="68.25" hidden="false" customHeight="true" outlineLevel="0" collapsed="false">
      <c r="A66" s="5" t="s">
        <v>664</v>
      </c>
      <c r="B66" s="6" t="s">
        <v>517</v>
      </c>
      <c r="C66" s="6" t="s">
        <v>530</v>
      </c>
      <c r="D66" s="6" t="s">
        <v>435</v>
      </c>
      <c r="E66" s="6" t="s">
        <v>665</v>
      </c>
      <c r="F66" s="6" t="s">
        <v>666</v>
      </c>
      <c r="G66" s="8" t="s">
        <v>52</v>
      </c>
      <c r="H66" s="6" t="s">
        <v>361</v>
      </c>
      <c r="I66" s="6" t="s">
        <v>667</v>
      </c>
      <c r="J66" s="6" t="s">
        <v>668</v>
      </c>
      <c r="K66" s="6" t="s">
        <v>669</v>
      </c>
      <c r="L66" s="6" t="s">
        <v>670</v>
      </c>
      <c r="M66" s="6" t="s">
        <v>671</v>
      </c>
      <c r="N66" s="6" t="s">
        <v>672</v>
      </c>
      <c r="O66" s="6" t="s">
        <v>37</v>
      </c>
    </row>
    <row r="67" customFormat="false" ht="45.75" hidden="false" customHeight="true" outlineLevel="0" collapsed="false">
      <c r="A67" s="5" t="s">
        <v>673</v>
      </c>
      <c r="B67" s="6" t="s">
        <v>517</v>
      </c>
      <c r="C67" s="6" t="s">
        <v>530</v>
      </c>
      <c r="D67" s="6" t="s">
        <v>674</v>
      </c>
      <c r="E67" s="6" t="s">
        <v>675</v>
      </c>
      <c r="F67" s="6" t="s">
        <v>676</v>
      </c>
      <c r="G67" s="8" t="s">
        <v>52</v>
      </c>
      <c r="H67" s="6" t="s">
        <v>552</v>
      </c>
      <c r="I67" s="6" t="s">
        <v>677</v>
      </c>
      <c r="J67" s="6" t="s">
        <v>678</v>
      </c>
      <c r="K67" s="6" t="s">
        <v>679</v>
      </c>
      <c r="L67" s="6" t="s">
        <v>680</v>
      </c>
      <c r="M67" s="6" t="s">
        <v>681</v>
      </c>
      <c r="N67" s="6" t="s">
        <v>672</v>
      </c>
      <c r="O67" s="6" t="s">
        <v>37</v>
      </c>
    </row>
    <row r="68" customFormat="false" ht="57" hidden="false" customHeight="true" outlineLevel="0" collapsed="false">
      <c r="A68" s="5" t="s">
        <v>682</v>
      </c>
      <c r="B68" s="6" t="s">
        <v>517</v>
      </c>
      <c r="C68" s="6" t="s">
        <v>530</v>
      </c>
      <c r="D68" s="6" t="s">
        <v>683</v>
      </c>
      <c r="E68" s="6" t="s">
        <v>684</v>
      </c>
      <c r="F68" s="6" t="s">
        <v>685</v>
      </c>
      <c r="G68" s="7" t="s">
        <v>29</v>
      </c>
      <c r="H68" s="6" t="s">
        <v>686</v>
      </c>
      <c r="I68" s="6" t="s">
        <v>687</v>
      </c>
      <c r="J68" s="6" t="s">
        <v>688</v>
      </c>
      <c r="K68" s="6" t="s">
        <v>689</v>
      </c>
      <c r="L68" s="6" t="s">
        <v>690</v>
      </c>
      <c r="M68" s="6" t="s">
        <v>691</v>
      </c>
      <c r="N68" s="6" t="s">
        <v>692</v>
      </c>
      <c r="O68" s="6" t="s">
        <v>37</v>
      </c>
    </row>
    <row r="69" customFormat="false" ht="45.75" hidden="false" customHeight="true" outlineLevel="0" collapsed="false">
      <c r="A69" s="5" t="s">
        <v>693</v>
      </c>
      <c r="B69" s="6" t="s">
        <v>517</v>
      </c>
      <c r="C69" s="6" t="s">
        <v>530</v>
      </c>
      <c r="D69" s="6" t="s">
        <v>694</v>
      </c>
      <c r="E69" s="6" t="s">
        <v>695</v>
      </c>
      <c r="F69" s="6" t="s">
        <v>696</v>
      </c>
      <c r="G69" s="7" t="s">
        <v>29</v>
      </c>
      <c r="H69" s="6" t="s">
        <v>697</v>
      </c>
      <c r="I69" s="6" t="s">
        <v>698</v>
      </c>
      <c r="J69" s="6" t="s">
        <v>699</v>
      </c>
      <c r="K69" s="6" t="s">
        <v>700</v>
      </c>
      <c r="L69" s="6" t="s">
        <v>701</v>
      </c>
      <c r="M69" s="6" t="s">
        <v>702</v>
      </c>
      <c r="N69" s="6" t="s">
        <v>703</v>
      </c>
      <c r="O69" s="6" t="s">
        <v>37</v>
      </c>
    </row>
    <row r="70" customFormat="false" ht="57" hidden="false" customHeight="true" outlineLevel="0" collapsed="false">
      <c r="A70" s="5" t="s">
        <v>704</v>
      </c>
      <c r="B70" s="6" t="s">
        <v>517</v>
      </c>
      <c r="C70" s="6" t="s">
        <v>530</v>
      </c>
      <c r="D70" s="6" t="s">
        <v>705</v>
      </c>
      <c r="E70" s="6" t="s">
        <v>706</v>
      </c>
      <c r="F70" s="6" t="s">
        <v>707</v>
      </c>
      <c r="G70" s="8" t="s">
        <v>52</v>
      </c>
      <c r="H70" s="6" t="s">
        <v>708</v>
      </c>
      <c r="I70" s="6" t="s">
        <v>709</v>
      </c>
      <c r="J70" s="6" t="s">
        <v>710</v>
      </c>
      <c r="K70" s="6" t="s">
        <v>711</v>
      </c>
      <c r="L70" s="6" t="s">
        <v>712</v>
      </c>
      <c r="M70" s="6" t="s">
        <v>713</v>
      </c>
      <c r="N70" s="6" t="s">
        <v>714</v>
      </c>
      <c r="O70" s="6" t="s">
        <v>37</v>
      </c>
    </row>
    <row r="71" customFormat="false" ht="68.25" hidden="false" customHeight="true" outlineLevel="0" collapsed="false">
      <c r="A71" s="5" t="s">
        <v>715</v>
      </c>
      <c r="B71" s="6" t="s">
        <v>517</v>
      </c>
      <c r="C71" s="6" t="s">
        <v>530</v>
      </c>
      <c r="D71" s="6" t="s">
        <v>716</v>
      </c>
      <c r="E71" s="6" t="s">
        <v>717</v>
      </c>
      <c r="F71" s="6" t="s">
        <v>718</v>
      </c>
      <c r="G71" s="9" t="s">
        <v>73</v>
      </c>
      <c r="H71" s="6" t="s">
        <v>708</v>
      </c>
      <c r="I71" s="6" t="s">
        <v>719</v>
      </c>
      <c r="J71" s="6" t="s">
        <v>720</v>
      </c>
      <c r="K71" s="6" t="s">
        <v>721</v>
      </c>
      <c r="L71" s="6" t="s">
        <v>722</v>
      </c>
      <c r="M71" s="6" t="s">
        <v>723</v>
      </c>
      <c r="N71" s="6" t="s">
        <v>703</v>
      </c>
      <c r="O71" s="6" t="s">
        <v>37</v>
      </c>
    </row>
    <row r="72" customFormat="false" ht="74.25" hidden="false" customHeight="true" outlineLevel="0" collapsed="false">
      <c r="A72" s="5" t="s">
        <v>724</v>
      </c>
      <c r="B72" s="6" t="s">
        <v>517</v>
      </c>
      <c r="C72" s="6" t="s">
        <v>530</v>
      </c>
      <c r="D72" s="6" t="s">
        <v>295</v>
      </c>
      <c r="E72" s="6" t="s">
        <v>296</v>
      </c>
      <c r="F72" s="6" t="s">
        <v>297</v>
      </c>
      <c r="G72" s="7" t="s">
        <v>29</v>
      </c>
      <c r="H72" s="6" t="s">
        <v>298</v>
      </c>
      <c r="I72" s="6" t="s">
        <v>299</v>
      </c>
      <c r="J72" s="6" t="s">
        <v>300</v>
      </c>
      <c r="K72" s="6" t="s">
        <v>725</v>
      </c>
      <c r="L72" s="6" t="s">
        <v>726</v>
      </c>
      <c r="M72" s="6" t="s">
        <v>727</v>
      </c>
      <c r="N72" s="6" t="s">
        <v>703</v>
      </c>
      <c r="O72" s="6" t="s">
        <v>37</v>
      </c>
    </row>
    <row r="73" customFormat="false" ht="74.25" hidden="false" customHeight="true" outlineLevel="0" collapsed="false">
      <c r="A73" s="5" t="s">
        <v>728</v>
      </c>
      <c r="B73" s="6" t="s">
        <v>517</v>
      </c>
      <c r="C73" s="6" t="s">
        <v>530</v>
      </c>
      <c r="D73" s="6" t="s">
        <v>729</v>
      </c>
      <c r="E73" s="6" t="s">
        <v>730</v>
      </c>
      <c r="F73" s="6" t="s">
        <v>731</v>
      </c>
      <c r="G73" s="7" t="s">
        <v>29</v>
      </c>
      <c r="H73" s="6" t="s">
        <v>708</v>
      </c>
      <c r="I73" s="6" t="s">
        <v>732</v>
      </c>
      <c r="J73" s="6" t="s">
        <v>733</v>
      </c>
      <c r="K73" s="6" t="s">
        <v>734</v>
      </c>
      <c r="L73" s="6" t="s">
        <v>735</v>
      </c>
      <c r="M73" s="6" t="s">
        <v>736</v>
      </c>
      <c r="N73" s="6" t="s">
        <v>737</v>
      </c>
      <c r="O73" s="6" t="s">
        <v>37</v>
      </c>
    </row>
    <row r="74" customFormat="false" ht="57" hidden="false" customHeight="true" outlineLevel="0" collapsed="false">
      <c r="A74" s="5" t="s">
        <v>738</v>
      </c>
      <c r="B74" s="6" t="s">
        <v>517</v>
      </c>
      <c r="C74" s="6" t="s">
        <v>530</v>
      </c>
      <c r="D74" s="6" t="s">
        <v>435</v>
      </c>
      <c r="E74" s="6" t="s">
        <v>665</v>
      </c>
      <c r="F74" s="6" t="s">
        <v>739</v>
      </c>
      <c r="G74" s="7" t="s">
        <v>29</v>
      </c>
      <c r="H74" s="6" t="s">
        <v>361</v>
      </c>
      <c r="I74" s="6" t="s">
        <v>740</v>
      </c>
      <c r="J74" s="6" t="s">
        <v>741</v>
      </c>
      <c r="K74" s="6" t="s">
        <v>742</v>
      </c>
      <c r="L74" s="6" t="s">
        <v>743</v>
      </c>
      <c r="M74" s="6" t="s">
        <v>744</v>
      </c>
      <c r="N74" s="6" t="s">
        <v>745</v>
      </c>
      <c r="O74" s="6" t="s">
        <v>444</v>
      </c>
    </row>
    <row r="75" customFormat="false" ht="45.75" hidden="false" customHeight="true" outlineLevel="0" collapsed="false">
      <c r="A75" s="5" t="s">
        <v>746</v>
      </c>
      <c r="B75" s="6" t="s">
        <v>517</v>
      </c>
      <c r="C75" s="6" t="s">
        <v>530</v>
      </c>
      <c r="D75" s="6" t="s">
        <v>729</v>
      </c>
      <c r="E75" s="6" t="s">
        <v>747</v>
      </c>
      <c r="F75" s="6" t="s">
        <v>748</v>
      </c>
      <c r="G75" s="7" t="s">
        <v>29</v>
      </c>
      <c r="H75" s="6" t="s">
        <v>708</v>
      </c>
      <c r="I75" s="6" t="s">
        <v>749</v>
      </c>
      <c r="J75" s="6" t="s">
        <v>750</v>
      </c>
      <c r="K75" s="6" t="s">
        <v>751</v>
      </c>
      <c r="L75" s="6" t="s">
        <v>752</v>
      </c>
      <c r="M75" s="6" t="s">
        <v>753</v>
      </c>
      <c r="N75" s="6" t="s">
        <v>754</v>
      </c>
      <c r="O75" s="6" t="s">
        <v>37</v>
      </c>
    </row>
    <row r="76" customFormat="false" ht="57" hidden="false" customHeight="true" outlineLevel="0" collapsed="false">
      <c r="A76" s="5" t="s">
        <v>755</v>
      </c>
      <c r="B76" s="6" t="s">
        <v>517</v>
      </c>
      <c r="C76" s="6" t="s">
        <v>530</v>
      </c>
      <c r="D76" s="6" t="s">
        <v>756</v>
      </c>
      <c r="E76" s="6" t="s">
        <v>757</v>
      </c>
      <c r="F76" s="6" t="s">
        <v>758</v>
      </c>
      <c r="G76" s="8" t="s">
        <v>52</v>
      </c>
      <c r="H76" s="6" t="s">
        <v>759</v>
      </c>
      <c r="I76" s="6" t="s">
        <v>760</v>
      </c>
      <c r="J76" s="6" t="s">
        <v>761</v>
      </c>
      <c r="K76" s="6" t="s">
        <v>762</v>
      </c>
      <c r="L76" s="6" t="s">
        <v>763</v>
      </c>
      <c r="M76" s="6" t="s">
        <v>764</v>
      </c>
      <c r="N76" s="6" t="s">
        <v>765</v>
      </c>
      <c r="O76" s="6" t="s">
        <v>37</v>
      </c>
    </row>
    <row r="77" customFormat="false" ht="68.25" hidden="false" customHeight="true" outlineLevel="0" collapsed="false">
      <c r="A77" s="5" t="s">
        <v>766</v>
      </c>
      <c r="B77" s="6" t="s">
        <v>517</v>
      </c>
      <c r="C77" s="6" t="s">
        <v>25</v>
      </c>
      <c r="D77" s="6" t="s">
        <v>767</v>
      </c>
      <c r="E77" s="6" t="s">
        <v>768</v>
      </c>
      <c r="F77" s="6" t="s">
        <v>769</v>
      </c>
      <c r="G77" s="8" t="s">
        <v>52</v>
      </c>
      <c r="H77" s="6" t="s">
        <v>255</v>
      </c>
      <c r="I77" s="6" t="s">
        <v>770</v>
      </c>
      <c r="J77" s="6" t="s">
        <v>771</v>
      </c>
      <c r="K77" s="6" t="s">
        <v>772</v>
      </c>
      <c r="L77" s="6" t="s">
        <v>773</v>
      </c>
      <c r="M77" s="6" t="s">
        <v>774</v>
      </c>
      <c r="N77" s="6" t="s">
        <v>765</v>
      </c>
      <c r="O77" s="6" t="s">
        <v>37</v>
      </c>
    </row>
    <row r="78" customFormat="false" ht="74.25" hidden="false" customHeight="true" outlineLevel="0" collapsed="false">
      <c r="A78" s="5" t="s">
        <v>775</v>
      </c>
      <c r="B78" s="6" t="s">
        <v>517</v>
      </c>
      <c r="C78" s="6" t="s">
        <v>25</v>
      </c>
      <c r="D78" s="6" t="s">
        <v>776</v>
      </c>
      <c r="E78" s="6" t="s">
        <v>777</v>
      </c>
      <c r="F78" s="6" t="s">
        <v>778</v>
      </c>
      <c r="G78" s="9" t="s">
        <v>73</v>
      </c>
      <c r="H78" s="6" t="s">
        <v>266</v>
      </c>
      <c r="I78" s="6" t="s">
        <v>779</v>
      </c>
      <c r="J78" s="6" t="s">
        <v>268</v>
      </c>
      <c r="K78" s="6" t="s">
        <v>780</v>
      </c>
      <c r="L78" s="6" t="s">
        <v>781</v>
      </c>
      <c r="M78" s="6" t="s">
        <v>271</v>
      </c>
      <c r="N78" s="6" t="s">
        <v>765</v>
      </c>
      <c r="O78" s="6" t="s">
        <v>37</v>
      </c>
    </row>
    <row r="79" customFormat="false" ht="68.25" hidden="false" customHeight="true" outlineLevel="0" collapsed="false">
      <c r="A79" s="5" t="s">
        <v>782</v>
      </c>
      <c r="B79" s="6" t="s">
        <v>517</v>
      </c>
      <c r="C79" s="6" t="s">
        <v>530</v>
      </c>
      <c r="D79" s="6" t="s">
        <v>783</v>
      </c>
      <c r="E79" s="6" t="s">
        <v>784</v>
      </c>
      <c r="F79" s="6" t="s">
        <v>785</v>
      </c>
      <c r="G79" s="7" t="s">
        <v>29</v>
      </c>
      <c r="H79" s="6" t="s">
        <v>276</v>
      </c>
      <c r="I79" s="6" t="s">
        <v>786</v>
      </c>
      <c r="J79" s="6" t="s">
        <v>787</v>
      </c>
      <c r="K79" s="6" t="s">
        <v>788</v>
      </c>
      <c r="L79" s="6" t="s">
        <v>789</v>
      </c>
      <c r="M79" s="6" t="s">
        <v>790</v>
      </c>
      <c r="N79" s="6" t="s">
        <v>765</v>
      </c>
      <c r="O79" s="6" t="s">
        <v>37</v>
      </c>
    </row>
    <row r="80" customFormat="false" ht="74.25" hidden="false" customHeight="true" outlineLevel="0" collapsed="false">
      <c r="A80" s="5" t="s">
        <v>791</v>
      </c>
      <c r="B80" s="6" t="s">
        <v>517</v>
      </c>
      <c r="C80" s="6" t="s">
        <v>25</v>
      </c>
      <c r="D80" s="6" t="s">
        <v>792</v>
      </c>
      <c r="E80" s="6" t="s">
        <v>793</v>
      </c>
      <c r="F80" s="6" t="s">
        <v>794</v>
      </c>
      <c r="G80" s="8" t="s">
        <v>52</v>
      </c>
      <c r="H80" s="6" t="s">
        <v>330</v>
      </c>
      <c r="I80" s="6" t="s">
        <v>795</v>
      </c>
      <c r="J80" s="6" t="s">
        <v>796</v>
      </c>
      <c r="K80" s="6" t="s">
        <v>797</v>
      </c>
      <c r="L80" s="6" t="s">
        <v>798</v>
      </c>
      <c r="M80" s="6" t="s">
        <v>799</v>
      </c>
      <c r="N80" s="6" t="s">
        <v>800</v>
      </c>
      <c r="O80" s="6" t="s">
        <v>37</v>
      </c>
    </row>
    <row r="81" customFormat="false" ht="74.25" hidden="false" customHeight="true" outlineLevel="0" collapsed="false">
      <c r="A81" s="5" t="s">
        <v>801</v>
      </c>
      <c r="B81" s="6" t="s">
        <v>517</v>
      </c>
      <c r="C81" s="6" t="s">
        <v>25</v>
      </c>
      <c r="D81" s="6" t="s">
        <v>317</v>
      </c>
      <c r="E81" s="6" t="s">
        <v>802</v>
      </c>
      <c r="F81" s="6" t="s">
        <v>803</v>
      </c>
      <c r="G81" s="7" t="s">
        <v>29</v>
      </c>
      <c r="H81" s="6" t="s">
        <v>320</v>
      </c>
      <c r="I81" s="6" t="s">
        <v>804</v>
      </c>
      <c r="J81" s="6" t="s">
        <v>805</v>
      </c>
      <c r="K81" s="6" t="s">
        <v>806</v>
      </c>
      <c r="L81" s="6" t="s">
        <v>807</v>
      </c>
      <c r="M81" s="6" t="s">
        <v>808</v>
      </c>
      <c r="N81" s="6" t="s">
        <v>800</v>
      </c>
      <c r="O81"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809</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552</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597</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686</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522</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759</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460</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697</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449</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708</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498</v>
      </c>
      <c r="B24" s="11" t="n">
        <f aca="false">COUNTIFS('Bug List'!$H:$H,$A24,'Bug List'!$G:$G,"Cao")</f>
        <v>0</v>
      </c>
      <c r="C24" s="11" t="n">
        <f aca="false">COUNTIFS('Bug List'!$H:$H,$A24,'Bug List'!$G:$G,"Trung")</f>
        <v>1</v>
      </c>
      <c r="D24" s="11" t="n">
        <f aca="false">COUNTIFS('Bug List'!$H:$H,$A24,'Bug List'!$G:$G,"Thấp")</f>
        <v>0</v>
      </c>
      <c r="E24" s="12" t="n">
        <f aca="false">SUM(B24:D24)</f>
        <v>1</v>
      </c>
    </row>
    <row r="25" customFormat="false" ht="15" hidden="false" customHeight="true" outlineLevel="0" collapsed="false">
      <c r="A25" s="11" t="s">
        <v>115</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201</v>
      </c>
      <c r="B26" s="11" t="n">
        <f aca="false">COUNTIFS('Bug List'!$H:$H,$A26,'Bug List'!$G:$G,"Cao")</f>
        <v>0</v>
      </c>
      <c r="C26" s="11" t="n">
        <f aca="false">COUNTIFS('Bug List'!$H:$H,$A26,'Bug List'!$G:$G,"Trung")</f>
        <v>1</v>
      </c>
      <c r="D26" s="11" t="n">
        <f aca="false">COUNTIFS('Bug List'!$H:$H,$A26,'Bug List'!$G:$G,"Thấp")</f>
        <v>0</v>
      </c>
      <c r="E26" s="12" t="n">
        <f aca="false">SUM(B26:D26)</f>
        <v>1</v>
      </c>
    </row>
    <row r="27" customFormat="false" ht="15" hidden="false" customHeight="true" outlineLevel="0" collapsed="false">
      <c r="A27" s="11" t="s">
        <v>428</v>
      </c>
      <c r="B27" s="11" t="n">
        <f aca="false">COUNTIFS('Bug List'!$H:$H,$A27,'Bug List'!$G:$G,"Cao")</f>
        <v>1</v>
      </c>
      <c r="C27" s="11" t="n">
        <f aca="false">COUNTIFS('Bug List'!$H:$H,$A27,'Bug List'!$G:$G,"Trung")</f>
        <v>0</v>
      </c>
      <c r="D27" s="11" t="n">
        <f aca="false">COUNTIFS('Bug List'!$H:$H,$A27,'Bug List'!$G:$G,"Thấp")</f>
        <v>0</v>
      </c>
      <c r="E27" s="12" t="n">
        <f aca="false">SUM(B27:D27)</f>
        <v>1</v>
      </c>
    </row>
    <row r="28" customFormat="false" ht="15" hidden="false" customHeight="true" outlineLevel="0" collapsed="false">
      <c r="A28" s="11" t="s">
        <v>361</v>
      </c>
      <c r="B28" s="11" t="n">
        <f aca="false">COUNTIFS('Bug List'!$H:$H,$A28,'Bug List'!$G:$G,"Cao")</f>
        <v>1</v>
      </c>
      <c r="C28" s="11" t="n">
        <f aca="false">COUNTIFS('Bug List'!$H:$H,$A28,'Bug List'!$G:$G,"Trung")</f>
        <v>3</v>
      </c>
      <c r="D28" s="11" t="n">
        <f aca="false">COUNTIFS('Bug List'!$H:$H,$A28,'Bug List'!$G:$G,"Thấp")</f>
        <v>0</v>
      </c>
      <c r="E28" s="12" t="n">
        <f aca="false">SUM(B28:D28)</f>
        <v>4</v>
      </c>
    </row>
    <row r="29" customFormat="false" ht="15" hidden="false" customHeight="true" outlineLevel="0" collapsed="false">
      <c r="A29" s="11" t="s">
        <v>243</v>
      </c>
      <c r="B29" s="11" t="n">
        <f aca="false">COUNTIFS('Bug List'!$H:$H,$A29,'Bug List'!$G:$G,"Cao")</f>
        <v>1</v>
      </c>
      <c r="C29" s="11" t="n">
        <f aca="false">COUNTIFS('Bug List'!$H:$H,$A29,'Bug List'!$G:$G,"Trung")</f>
        <v>0</v>
      </c>
      <c r="D29" s="11" t="n">
        <f aca="false">COUNTIFS('Bug List'!$H:$H,$A29,'Bug List'!$G:$G,"Thấp")</f>
        <v>0</v>
      </c>
      <c r="E29" s="12" t="n">
        <f aca="false">SUM(B29:D29)</f>
        <v>1</v>
      </c>
    </row>
    <row r="30" customFormat="false" ht="15" hidden="false" customHeight="true" outlineLevel="0" collapsed="false">
      <c r="A30" s="11" t="s">
        <v>30</v>
      </c>
      <c r="B30" s="11" t="n">
        <f aca="false">COUNTIFS('Bug List'!$H:$H,$A30,'Bug List'!$G:$G,"Cao")</f>
        <v>0</v>
      </c>
      <c r="C30" s="11" t="n">
        <f aca="false">COUNTIFS('Bug List'!$H:$H,$A30,'Bug List'!$G:$G,"Trung")</f>
        <v>5</v>
      </c>
      <c r="D30" s="11" t="n">
        <f aca="false">COUNTIFS('Bug List'!$H:$H,$A30,'Bug List'!$G:$G,"Thấp")</f>
        <v>0</v>
      </c>
      <c r="E30" s="12" t="n">
        <f aca="false">SUM(B30:D30)</f>
        <v>5</v>
      </c>
    </row>
    <row r="31" customFormat="false" ht="15" hidden="false" customHeight="true" outlineLevel="0" collapsed="false">
      <c r="A31" s="11" t="s">
        <v>105</v>
      </c>
      <c r="B31" s="11" t="n">
        <f aca="false">COUNTIFS('Bug List'!$H:$H,$A31,'Bug List'!$G:$G,"Cao")</f>
        <v>1</v>
      </c>
      <c r="C31" s="11" t="n">
        <f aca="false">COUNTIFS('Bug List'!$H:$H,$A31,'Bug List'!$G:$G,"Trung")</f>
        <v>0</v>
      </c>
      <c r="D31" s="11" t="n">
        <f aca="false">COUNTIFS('Bug List'!$H:$H,$A31,'Bug List'!$G:$G,"Thấp")</f>
        <v>1</v>
      </c>
      <c r="E31" s="12" t="n">
        <f aca="false">SUM(B31:D31)</f>
        <v>2</v>
      </c>
    </row>
    <row r="32" customFormat="false" ht="15" hidden="false" customHeight="true" outlineLevel="0" collapsed="false">
      <c r="A32" s="11" t="s">
        <v>633</v>
      </c>
      <c r="B32" s="11" t="n">
        <f aca="false">COUNTIFS('Bug List'!$H:$H,$A32,'Bug List'!$G:$G,"Cao")</f>
        <v>0</v>
      </c>
      <c r="C32" s="11" t="n">
        <f aca="false">COUNTIFS('Bug List'!$H:$H,$A32,'Bug List'!$G:$G,"Trung")</f>
        <v>0</v>
      </c>
      <c r="D32" s="11" t="n">
        <f aca="false">COUNTIFS('Bug List'!$H:$H,$A32,'Bug List'!$G:$G,"Thấp")</f>
        <v>1</v>
      </c>
      <c r="E32" s="12" t="n">
        <f aca="false">SUM(B32:D32)</f>
        <v>1</v>
      </c>
    </row>
    <row r="33" customFormat="false" ht="15" hidden="false" customHeight="true" outlineLevel="0" collapsed="false">
      <c r="A33" s="11" t="s">
        <v>478</v>
      </c>
      <c r="B33" s="11" t="n">
        <f aca="false">COUNTIFS('Bug List'!$H:$H,$A33,'Bug List'!$G:$G,"Cao")</f>
        <v>0</v>
      </c>
      <c r="C33" s="11" t="n">
        <f aca="false">COUNTIFS('Bug List'!$H:$H,$A33,'Bug List'!$G:$G,"Trung")</f>
        <v>0</v>
      </c>
      <c r="D33" s="11" t="n">
        <f aca="false">COUNTIFS('Bug List'!$H:$H,$A33,'Bug List'!$G:$G,"Thấp")</f>
        <v>2</v>
      </c>
      <c r="E33" s="12" t="n">
        <f aca="false">SUM(B33:D33)</f>
        <v>2</v>
      </c>
    </row>
    <row r="34" customFormat="false" ht="15" hidden="false" customHeight="true" outlineLevel="0" collapsed="false">
      <c r="A34" s="11" t="s">
        <v>509</v>
      </c>
      <c r="B34" s="11" t="n">
        <f aca="false">COUNTIFS('Bug List'!$H:$H,$A34,'Bug List'!$G:$G,"Cao")</f>
        <v>0</v>
      </c>
      <c r="C34" s="11" t="n">
        <f aca="false">COUNTIFS('Bug List'!$H:$H,$A34,'Bug List'!$G:$G,"Trung")</f>
        <v>1</v>
      </c>
      <c r="D34" s="11" t="n">
        <f aca="false">COUNTIFS('Bug List'!$H:$H,$A34,'Bug List'!$G:$G,"Thấp")</f>
        <v>0</v>
      </c>
      <c r="E34" s="12" t="n">
        <f aca="false">SUM(B34:D34)</f>
        <v>1</v>
      </c>
    </row>
    <row r="35" customFormat="false" ht="15" hidden="false" customHeight="true" outlineLevel="0" collapsed="false">
      <c r="A35" s="11" t="s">
        <v>222</v>
      </c>
      <c r="B35" s="11" t="n">
        <f aca="false">COUNTIFS('Bug List'!$H:$H,$A35,'Bug List'!$G:$G,"Cao")</f>
        <v>0</v>
      </c>
      <c r="C35" s="11" t="n">
        <f aca="false">COUNTIFS('Bug List'!$H:$H,$A35,'Bug List'!$G:$G,"Trung")</f>
        <v>1</v>
      </c>
      <c r="D35" s="11" t="n">
        <f aca="false">COUNTIFS('Bug List'!$H:$H,$A35,'Bug List'!$G:$G,"Thấp")</f>
        <v>0</v>
      </c>
      <c r="E35" s="12" t="n">
        <f aca="false">SUM(B35:D35)</f>
        <v>1</v>
      </c>
    </row>
    <row r="36" customFormat="false" ht="15" hidden="false" customHeight="true" outlineLevel="0" collapsed="false">
      <c r="A36" s="11" t="s">
        <v>94</v>
      </c>
      <c r="B36" s="11" t="n">
        <f aca="false">COUNTIFS('Bug List'!$H:$H,$A36,'Bug List'!$G:$G,"Cao")</f>
        <v>1</v>
      </c>
      <c r="C36" s="11" t="n">
        <f aca="false">COUNTIFS('Bug List'!$H:$H,$A36,'Bug List'!$G:$G,"Trung")</f>
        <v>0</v>
      </c>
      <c r="D36" s="11" t="n">
        <f aca="false">COUNTIFS('Bug List'!$H:$H,$A36,'Bug List'!$G:$G,"Thấp")</f>
        <v>0</v>
      </c>
      <c r="E36" s="12" t="n">
        <f aca="false">SUM(B36:D36)</f>
        <v>1</v>
      </c>
    </row>
    <row r="37" customFormat="false" ht="15" hidden="false" customHeight="true" outlineLevel="0" collapsed="false">
      <c r="A37" s="11" t="s">
        <v>160</v>
      </c>
      <c r="B37" s="11" t="n">
        <f aca="false">COUNTIFS('Bug List'!$H:$H,$A37,'Bug List'!$G:$G,"Cao")</f>
        <v>1</v>
      </c>
      <c r="C37" s="11" t="n">
        <f aca="false">COUNTIFS('Bug List'!$H:$H,$A37,'Bug List'!$G:$G,"Trung")</f>
        <v>2</v>
      </c>
      <c r="D37" s="11" t="n">
        <f aca="false">COUNTIFS('Bug List'!$H:$H,$A37,'Bug List'!$G:$G,"Thấp")</f>
        <v>0</v>
      </c>
      <c r="E37" s="12" t="n">
        <f aca="false">SUM(B37:D37)</f>
        <v>3</v>
      </c>
    </row>
    <row r="38" customFormat="false" ht="15" hidden="false" customHeight="true" outlineLevel="0" collapsed="false">
      <c r="A38" s="11" t="s">
        <v>276</v>
      </c>
      <c r="B38" s="11" t="n">
        <f aca="false">COUNTIFS('Bug List'!$H:$H,$A38,'Bug List'!$G:$G,"Cao")</f>
        <v>0</v>
      </c>
      <c r="C38" s="11" t="n">
        <f aca="false">COUNTIFS('Bug List'!$H:$H,$A38,'Bug List'!$G:$G,"Trung")</f>
        <v>2</v>
      </c>
      <c r="D38" s="11" t="n">
        <f aca="false">COUNTIFS('Bug List'!$H:$H,$A38,'Bug List'!$G:$G,"Thấp")</f>
        <v>0</v>
      </c>
      <c r="E38" s="12" t="n">
        <f aca="false">SUM(B38:D38)</f>
        <v>2</v>
      </c>
    </row>
    <row r="39" customFormat="false" ht="15" hidden="false" customHeight="true" outlineLevel="0" collapsed="false">
      <c r="A39" s="12" t="s">
        <v>809</v>
      </c>
      <c r="B39" s="12" t="n">
        <f aca="false">SUM(B2:B38)</f>
        <v>24</v>
      </c>
      <c r="C39" s="12" t="n">
        <f aca="false">SUM(C2:C38)</f>
        <v>35</v>
      </c>
      <c r="D39" s="12" t="n">
        <f aca="false">SUM(D2:D38)</f>
        <v>21</v>
      </c>
      <c r="E39" s="12" t="n">
        <f aca="false">SUM(E2:E38)</f>
        <v>80</v>
      </c>
    </row>
    <row r="40" customFormat="false" ht="15" hidden="false" customHeight="true" outlineLevel="0" collapsed="false"/>
    <row r="41" customFormat="false" ht="15" hidden="false" customHeight="true" outlineLevel="0" collapsed="false">
      <c r="A41" s="12" t="s">
        <v>22</v>
      </c>
      <c r="B41" s="12" t="s">
        <v>810</v>
      </c>
    </row>
    <row r="42" customFormat="false" ht="15" hidden="false" customHeight="true" outlineLevel="0" collapsed="false">
      <c r="A42" s="11" t="s">
        <v>811</v>
      </c>
      <c r="B42" s="11" t="n">
        <f aca="false">COUNTIF('Bug List'!$O:$O,A42)</f>
        <v>0</v>
      </c>
    </row>
    <row r="43" customFormat="false" ht="15" hidden="false" customHeight="true" outlineLevel="0" collapsed="false">
      <c r="A43" s="11" t="s">
        <v>444</v>
      </c>
      <c r="B43" s="11" t="n">
        <f aca="false">COUNTIF('Bug List'!$O:$O,A43)</f>
        <v>3</v>
      </c>
    </row>
    <row r="44" customFormat="false" ht="15" hidden="false" customHeight="true" outlineLevel="0" collapsed="false">
      <c r="A44" s="11" t="s">
        <v>37</v>
      </c>
      <c r="B44" s="11" t="n">
        <f aca="false">COUNTIF('Bug List'!$O:$O,A44)</f>
        <v>77</v>
      </c>
    </row>
    <row r="45" customFormat="false" ht="15" hidden="false" customHeight="true" outlineLevel="0" collapsed="false">
      <c r="A45" s="11" t="s">
        <v>812</v>
      </c>
      <c r="B45" s="11" t="n">
        <f aca="false">COUNTIF('Bug List'!$O:$O,A45)</f>
        <v>0</v>
      </c>
    </row>
    <row r="46" customFormat="false" ht="15" hidden="false" customHeight="true" outlineLevel="0" collapsed="false"/>
    <row r="47" customFormat="false" ht="15" hidden="false" customHeight="true" outlineLevel="0" collapsed="false">
      <c r="A47" s="13" t="s">
        <v>813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814</v>
      </c>
      <c r="B1" s="10" t="s">
        <v>815</v>
      </c>
    </row>
    <row r="2" customFormat="false" ht="15" hidden="false" customHeight="true" outlineLevel="0" collapsed="false">
      <c r="A2" s="12" t="s">
        <v>149</v>
      </c>
      <c r="B2" s="3" t="s">
        <v>816</v>
      </c>
    </row>
    <row r="3" customFormat="false" ht="26.25" hidden="false" customHeight="true" outlineLevel="0" collapsed="false">
      <c r="A3" s="12" t="s">
        <v>53</v>
      </c>
      <c r="B3" s="3" t="s">
        <v>817</v>
      </c>
    </row>
    <row r="4" customFormat="false" ht="15" hidden="false" customHeight="true" outlineLevel="0" collapsed="false">
      <c r="A4" s="12" t="s">
        <v>818</v>
      </c>
      <c r="B4" s="3" t="s">
        <v>819</v>
      </c>
    </row>
    <row r="5" customFormat="false" ht="15" hidden="false" customHeight="true" outlineLevel="0" collapsed="false">
      <c r="A5" s="12" t="s">
        <v>115</v>
      </c>
      <c r="B5" s="3" t="s">
        <v>820</v>
      </c>
    </row>
    <row r="6" customFormat="false" ht="15" hidden="false" customHeight="true" outlineLevel="0" collapsed="false">
      <c r="A6" s="12" t="s">
        <v>821</v>
      </c>
      <c r="B6" s="3" t="s">
        <v>822</v>
      </c>
    </row>
    <row r="7" customFormat="false" ht="15" hidden="false" customHeight="true" outlineLevel="0" collapsed="false">
      <c r="A7" s="12" t="s">
        <v>823</v>
      </c>
      <c r="B7" s="3" t="s">
        <v>824</v>
      </c>
    </row>
    <row r="8" customFormat="false" ht="15" hidden="false" customHeight="true" outlineLevel="0" collapsed="false">
      <c r="A8" s="12" t="s">
        <v>825</v>
      </c>
      <c r="B8" s="3" t="s">
        <v>826</v>
      </c>
    </row>
    <row r="9" customFormat="false" ht="15" hidden="false" customHeight="true" outlineLevel="0" collapsed="false">
      <c r="A9" s="12" t="s">
        <v>827</v>
      </c>
      <c r="B9" s="3" t="s">
        <v>828</v>
      </c>
    </row>
    <row r="10" customFormat="false" ht="15" hidden="false" customHeight="true" outlineLevel="0" collapsed="false">
      <c r="A10" s="12" t="s">
        <v>829</v>
      </c>
      <c r="B10" s="3" t="s">
        <v>830</v>
      </c>
    </row>
    <row r="11" customFormat="false" ht="15" hidden="false" customHeight="true" outlineLevel="0" collapsed="false">
      <c r="A11" s="12" t="s">
        <v>831</v>
      </c>
      <c r="B11" s="3" t="s">
        <v>832</v>
      </c>
    </row>
    <row r="12" customFormat="false" ht="15" hidden="false" customHeight="true" outlineLevel="0" collapsed="false">
      <c r="A12" s="12" t="s">
        <v>833</v>
      </c>
      <c r="B12" s="3" t="s">
        <v>834</v>
      </c>
    </row>
    <row r="13" customFormat="false" ht="15" hidden="false" customHeight="true" outlineLevel="0" collapsed="false">
      <c r="A13" s="12" t="s">
        <v>835</v>
      </c>
      <c r="B13" s="3" t="s">
        <v>836</v>
      </c>
    </row>
    <row r="14" customFormat="false" ht="26.25" hidden="false" customHeight="true" outlineLevel="0" collapsed="false">
      <c r="A14" s="12" t="s">
        <v>837</v>
      </c>
      <c r="B14" s="3" t="s">
        <v>838</v>
      </c>
    </row>
    <row r="15" customFormat="false" ht="15" hidden="false" customHeight="true" outlineLevel="0" collapsed="false">
      <c r="A15" s="12" t="s">
        <v>839</v>
      </c>
      <c r="B15" s="3" t="s">
        <v>840</v>
      </c>
    </row>
    <row r="16" customFormat="false" ht="26.25" hidden="false" customHeight="true" outlineLevel="0" collapsed="false">
      <c r="A16" s="12" t="s">
        <v>841</v>
      </c>
      <c r="B16" s="3" t="s">
        <v>842</v>
      </c>
    </row>
    <row r="17" customFormat="false" ht="15" hidden="false" customHeight="true" outlineLevel="0" collapsed="false">
      <c r="A17" s="12" t="s">
        <v>287</v>
      </c>
      <c r="B17" s="3" t="s">
        <v>843</v>
      </c>
    </row>
    <row r="18" customFormat="false" ht="15" hidden="false" customHeight="true" outlineLevel="0" collapsed="false">
      <c r="A18" s="12" t="s">
        <v>844</v>
      </c>
      <c r="B18" s="3" t="s">
        <v>845</v>
      </c>
    </row>
    <row r="19" customFormat="false" ht="26.25" hidden="false" customHeight="true" outlineLevel="0" collapsed="false">
      <c r="A19" s="12" t="s">
        <v>846</v>
      </c>
      <c r="B19" s="3" t="s">
        <v>847</v>
      </c>
    </row>
    <row r="20" customFormat="false" ht="15" hidden="false" customHeight="true" outlineLevel="0" collapsed="false">
      <c r="A20" s="12" t="s">
        <v>848</v>
      </c>
      <c r="B20" s="3" t="s">
        <v>849</v>
      </c>
    </row>
    <row r="21" customFormat="false" ht="26.25" hidden="false" customHeight="true" outlineLevel="0" collapsed="false">
      <c r="A21" s="12" t="s">
        <v>428</v>
      </c>
      <c r="B21" s="3" t="s">
        <v>850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2026-10-06T06:59:21Z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