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ướng dẫn" sheetId="1" state="visible" r:id="rId3"/>
    <sheet name="Bug List" sheetId="2" state="visible" r:id="rId4"/>
    <sheet name="Thống kê" sheetId="3" state="visible" r:id="rId5"/>
    <sheet name="Checklist rà soá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<sst xmlns="http://schemas.openxmlformats.org/spreadsheetml/2006/main" count="1331" uniqueCount="862">
  <si>
    <t xml:space="preserve">Kho kinh nghiệm lỗi của Lotus POS. Mỗi lỗi phát hiện hoặc sửa (kể cả do AI khác sửa) thêm MỘT dòng vào sheet Bug List.</t>
  </si>
  <si>
    <t xml:space="preserve">ID: PT-xx (Phát Tài), ECHO-xx, SAAS-xx (repo lotus-pos-saas), theo thứ tự tăng dần.</t>
  </si>
  <si>
    <t xml:space="preserve">Nguồn / Mức độ / Trạng thái: chọn từ danh sách thả xuống. Cao = hỏng chức năng thật; Trung = mất dữ liệu nhập, sai trạng thái; Thấp = giao diện.</t>
  </si>
  <si>
    <t xml:space="preserve">Nguyên nhân gốc: ghi cơ chế kỹ thuật (API, giới hạn, dòng code), không ghi "do sơ suất".</t>
  </si>
  <si>
    <t xml:space="preserve">Test chặn tái phạm: tên file test hoặc "—" nếu chưa có (khi đó ghi lý do ở cột Bài học).</t>
  </si>
  <si>
    <t xml:space="preserve">Bài học / câu hỏi rà soát: câu hỏi để tìm lỗi cùng loại ở chỗ khác. Hạng mục lặp lại nhiều lần thì thêm vào sheet Checklist rà soát.</t>
  </si>
  <si>
    <t xml:space="preserve">Commit / tham chiếu: hash commit (pos-phattai cho dòng PT-, lotus-pos-saas cho dòng SAAS-/ECHO-) hoặc phiên bản sản phẩm cũ. Một bản sửa đã đẩy lên luôn có hash.</t>
  </si>
  <si>
    <t xml:space="preserve">Sheet Thống kê tự đếm bằng công thức; không sửa tay.</t>
  </si>
  <si>
    <t xml:space="preserve">ID</t>
  </si>
  <si>
    <t xml:space="preserve">Ngày phát hiện</t>
  </si>
  <si>
    <t xml:space="preserve">Nguồn</t>
  </si>
  <si>
    <t xml:space="preserve">Phân hệ</t>
  </si>
  <si>
    <t xml:space="preserve">File / vị trí</t>
  </si>
  <si>
    <t xml:space="preserve">Môi trường lộ lỗi</t>
  </si>
  <si>
    <t xml:space="preserve">Mức độ</t>
  </si>
  <si>
    <t xml:space="preserve">Nhóm lỗi</t>
  </si>
  <si>
    <t xml:space="preserve">Triệu chứng</t>
  </si>
  <si>
    <t xml:space="preserve">Nguyên nhân gốc (kỹ thuật)</t>
  </si>
  <si>
    <t xml:space="preserve">Cách sửa</t>
  </si>
  <si>
    <t xml:space="preserve">Test chặn tái phạm</t>
  </si>
  <si>
    <t xml:space="preserve">Bài học / câu hỏi rà soát</t>
  </si>
  <si>
    <t xml:space="preserve">Commit / tham chiếu</t>
  </si>
  <si>
    <t xml:space="preserve">Trạng thái</t>
  </si>
  <si>
    <t xml:space="preserve">PT-01</t>
  </si>
  <si>
    <t xml:space="preserve">2026-10-02</t>
  </si>
  <si>
    <t xml:space="preserve">Phát Tài</t>
  </si>
  <si>
    <t xml:space="preserve">Staff UI</t>
  </si>
  <si>
    <t xml:space="preserve">public/staff/staff.js message()</t>
  </si>
  <si>
    <t xml:space="preserve">Mọi máy</t>
  </si>
  <si>
    <t xml:space="preserve">Trung</t>
  </si>
  <si>
    <t xml:space="preserve">Render mất dữ liệu</t>
  </si>
  <si>
    <t xml:space="preserve">Đang gõ SĐT hội viên/voucher/ghi chú, vài giây sau ô nhập trống; tra cứu báo 400. E2E chập chờn.</t>
  </si>
  <si>
    <t xml:space="preserve">Timer 7 giây của thông báo gọi render() toàn trang → dựng lại DOM, mất giá trị input chưa lưu vào state. Tái hiện bằng PRE_WAIT=7000.</t>
  </si>
  <si>
    <t xml:space="preserve">message() chỉ gỡ phần tử thông báo, không render lại.</t>
  </si>
  <si>
    <t xml:space="preserve">tests/phattai-v174-build-strip.test.mjs: "FLAKE a fading notice removes only the notice: it must not re-render and wipe typed fields"; scripts/e2e-staff.mjs gõ SĐT rồi chờ quá 7 s.</t>
  </si>
  <si>
    <t xml:space="preserve">Mọi setTimeout/sự kiện nền gọi render toàn trang? Mọi input có oninput lưu vào state?</t>
  </si>
  <si>
    <t xml:space="preserve">d95ccd2</t>
  </si>
  <si>
    <t xml:space="preserve">Đã sửa</t>
  </si>
  <si>
    <t xml:space="preserve">PT-02</t>
  </si>
  <si>
    <t xml:space="preserve">Staff UI / In</t>
  </si>
  <si>
    <t xml:space="preserve">public/staff/staff.js notify()</t>
  </si>
  <si>
    <t xml:space="preserve">Máy quầy có máy in</t>
  </si>
  <si>
    <t xml:space="preserve">Thu ngân đang gõ thì báo cáo in xong làm ô nhập bị xóa.</t>
  </si>
  <si>
    <t xml:space="preserve">Cùng gốc PT-01: callback báo cáo in gọi message()/render đầy đủ.</t>
  </si>
  <si>
    <t xml:space="preserve">notify() thay nội dung thông báo tại chỗ, không render.</t>
  </si>
  <si>
    <t xml:space="preserve">tests/phattai-v176-update-resume.test.mjs: "KITCHEN printer reports only swap the notice; they never re-render over a form being typed".</t>
  </si>
  <si>
    <t xml:space="preserve">Callback từ native/WebSocket/polling chỉ cập nhật cục bộ.</t>
  </si>
  <si>
    <t xml:space="preserve">014fd22</t>
  </si>
  <si>
    <t xml:space="preserve">PT-03</t>
  </si>
  <si>
    <t xml:space="preserve">Web QR / Staff</t>
  </si>
  <si>
    <t xml:space="preserve">public/assets/app.js, staff.js, display.js, counter/devices.js</t>
  </si>
  <si>
    <t xml:space="preserve">iOS 15, WebView cũ</t>
  </si>
  <si>
    <t xml:space="preserve">Cao</t>
  </si>
  <si>
    <t xml:space="preserve">Engine cũ</t>
  </si>
  <si>
    <t xml:space="preserve">Trang QR trắng/lỗi mạng trên iPhone iOS 15 và WebView cũ.</t>
  </si>
  <si>
    <t xml:space="preserve">AbortSignal.timeout() (Chrome 103 / iOS 16) không tồn tại → TypeError trước khi fetch.</t>
  </si>
  <si>
    <t xml:space="preserve">Hàm timeoutSignal(ms) dùng AbortController + setTimeout khi thiếu AbortSignal.timeout, áp ở cả 4 file.</t>
  </si>
  <si>
    <t xml:space="preserve">tests/phattai-v175-old-devices.test.mjs: "OLD DEVICES requests still time out where AbortSignal.timeout is missing"; scripts/e2e-staff.mjs xóa AbortSignal.timeout trên máy cầm tay và điện thoại khách.</t>
  </si>
  <si>
    <t xml:space="preserve">Quét API mới không có fallback: AbortSignal.timeout, replaceAll, Object.hasOwn, Array.at, findLast, structuredClone, crypto.randomUUID, ??=.</t>
  </si>
  <si>
    <t xml:space="preserve">b053657</t>
  </si>
  <si>
    <t xml:space="preserve">PT-04</t>
  </si>
  <si>
    <t xml:space="preserve">Staff / Báo cáo</t>
  </si>
  <si>
    <t xml:space="preserve">public/staff/staff.js xuất CSV</t>
  </si>
  <si>
    <t xml:space="preserve">SUNMI WebView Chromium 83</t>
  </si>
  <si>
    <t xml:space="preserve">Xuất CSV lỗi trên máy SUNMI.</t>
  </si>
  <si>
    <t xml:space="preserve">String.prototype.replaceAll chỉ có từ Chrome 85.</t>
  </si>
  <si>
    <t xml:space="preserve">Dùng .replace(/"/g,'""').</t>
  </si>
  <si>
    <t xml:space="preserve">tests/phattai-v175-old-devices.test.mjs: "OLD DEVICES no unguarded browser API that Chromium 83 or iOS 15 lacks"; scripts/e2e-staff.mjs xóa String.replaceAll.</t>
  </si>
  <si>
    <t xml:space="preserve">Như PT-03.</t>
  </si>
  <si>
    <t xml:space="preserve">PT-05</t>
  </si>
  <si>
    <t xml:space="preserve">CSS</t>
  </si>
  <si>
    <t xml:space="preserve">public/assets/app.css</t>
  </si>
  <si>
    <t xml:space="preserve">iOS cũ</t>
  </si>
  <si>
    <t xml:space="preserve">Thấp</t>
  </si>
  <si>
    <t xml:space="preserve">Bố cục QR vỡ trên iOS cũ.</t>
  </si>
  <si>
    <t xml:space="preserve">Đơn vị dvh không có fallback vh; thuộc tính rút gọn inset không có trên iOS &lt; 14.5.</t>
  </si>
  <si>
    <t xml:space="preserve">Khai báo vh trước dvh; thay inset bằng top/right/bottom/left.</t>
  </si>
  <si>
    <t xml:space="preserve">tests/phattai-v175-old-devices.test.mjs: "OLD DEVICES the customer page keeps a vh fallback wherever it uses dvh (iOS &lt; 15.4)" và "no unguarded browser API…" (inset).</t>
  </si>
  <si>
    <t xml:space="preserve">Rà dvh/svh, inset, gap trong flex, aspect-ratio, :has(), :is() thiếu fallback.</t>
  </si>
  <si>
    <t xml:space="preserve">PT-06</t>
  </si>
  <si>
    <t xml:space="preserve">Worker / Realtime</t>
  </si>
  <si>
    <t xml:space="preserve">src/worker.js /api/realtime</t>
  </si>
  <si>
    <t xml:space="preserve">SUNMI V2s WebView Chromium 83 (Android 11)</t>
  </si>
  <si>
    <t xml:space="preserve">Khác biệt WebView</t>
  </si>
  <si>
    <t xml:space="preserve">Máy cầm tay không nhận đơn mới tức thì, âm thầm quay về polling, không báo lỗi.</t>
  </si>
  <si>
    <t xml:space="preserve">Worker kiểm Origin của WebSocket và chỉ chấp nhận "null"; WebView gốc SUNMI (Chromium 83) gửi "file://" khi trang nạp từ file://. Chỉ lộ trên emulator/thiết bị Android 11 thật.</t>
  </si>
  <si>
    <t xml:space="preserve">Chấp nhận cả "null" và "file://" (vẫn bắt buộc bearer session trong subprotocol), log Origin bị từ chối.</t>
  </si>
  <si>
    <t xml:space="preserve">tests/phattai-v162-optimization.test.mjs: "REALTIME the packaged SUNMI app may connect from file:// whether its WebView says null or file://"; .github/workflows/apk-device.yml (emulator Android 11).</t>
  </si>
  <si>
    <t xml:space="preserve">Mọi whitelist Origin/Referer/CORS phải tính WebView; mọi fallback im lặng phải log + hiện trạng thái RT trên thanh chẩn đoán.</t>
  </si>
  <si>
    <t xml:space="preserve">e26fee4</t>
  </si>
  <si>
    <t xml:space="preserve">PT-07</t>
  </si>
  <si>
    <t xml:space="preserve">Android / Cập nhật</t>
  </si>
  <si>
    <t xml:space="preserve">android/.../AppUpdater.java</t>
  </si>
  <si>
    <t xml:space="preserve">Android 11 khi cấp quyền cài từ nguồn không rõ</t>
  </si>
  <si>
    <t xml:space="preserve">Trạng thái trong bộ nhớ</t>
  </si>
  <si>
    <t xml:space="preserve">Bấm cập nhật → sang màn cấp quyền → cấp xong app bị tắt, cập nhật không tiếp tục.</t>
  </si>
  <si>
    <t xml:space="preserve">Android kill process khi quyền REQUEST_INSTALL_PACKAGES thay đổi; trạng thái "đang cập nhật" chỉ nằm trong RAM.</t>
  </si>
  <si>
    <t xml:space="preserve">Lưu resume_until (10 phút) vào SharedPreferences; onResume tự tiếp tục requestInstallUpdate.</t>
  </si>
  <si>
    <t xml:space="preserve">tests/phattai-v176-update-resume.test.mjs: "UPDATE the started update is remembered before Android settings open", "UPDATE after the restart the update resumes only if allowed, recent, and still available"; tests/UpdatePolicyHarness.java.</t>
  </si>
  <si>
    <t xml:space="preserve">Luồng nào phụ thuộc RAM mà có bước hệ thống kill app (quyền, đổi ngôn ngữ, xoay màn hình)? App Android mới của SaaS phải giữ cơ chế này.</t>
  </si>
  <si>
    <t xml:space="preserve">ed7b53a</t>
  </si>
  <si>
    <t xml:space="preserve">PT-08</t>
  </si>
  <si>
    <t xml:space="preserve">Staff UI / Thanh toán</t>
  </si>
  <si>
    <t xml:space="preserve">public/staff/staff.js onNativeEvent → open()</t>
  </si>
  <si>
    <t xml:space="preserve">Emulator/thiết bị có sự kiện native</t>
  </si>
  <si>
    <t xml:space="preserve">Render mất trạng thái</t>
  </si>
  <si>
    <t xml:space="preserve">Đang ở bước thanh toán, máy in bếp báo xong → màn hình nhảy về chi tiết đơn, mất bước thanh toán.</t>
  </si>
  <si>
    <t xml:space="preserve">onNativeEvent gọi open() vốn reset st.payFlow và st.screen.</t>
  </si>
  <si>
    <t xml:space="preserve">reloadDetail() tải lại dữ liệu nhưng giữ payFlow.</t>
  </si>
  <si>
    <t xml:space="preserve">tests/phattai-v176-update-resume.test.mjs: "KITCHEN a print report refreshes the order without leaving the payment step"; scripts/e2e-staff.mjs mock cầu native báo KITCHEN_SENT sau mỗi lệnh in.</t>
  </si>
  <si>
    <t xml:space="preserve">Hàm "mở" gọi từ sự kiện nền có reset luồng đang chạy không?</t>
  </si>
  <si>
    <t xml:space="preserve">707ddb1</t>
  </si>
  <si>
    <t xml:space="preserve">PT-09</t>
  </si>
  <si>
    <t xml:space="preserve">Staff UI / Đơn</t>
  </si>
  <si>
    <t xml:space="preserve">public/staff/staff.js detail()</t>
  </si>
  <si>
    <t xml:space="preserve">Payload một phần</t>
  </si>
  <si>
    <t xml:space="preserve">Treo/lỗi "Cannot read property 'filter' of undefined" ngay sau Chốt đơn.</t>
  </si>
  <si>
    <t xml:space="preserve">POST tạo đơn trả {order} trần, không có bills/jobs; detail() giả định payload GET đầy đủ.</t>
  </si>
  <si>
    <t xml:space="preserve">detail() kiểm thiếu mảng → hiện "Đang tải đơn…" rồi GET bản đầy đủ.</t>
  </si>
  <si>
    <t xml:space="preserve">tests/phattai-v176-update-resume.test.mjs: “KITCHEN a just-created order shows "loading" instead of crashing the render”.</t>
  </si>
  <si>
    <t xml:space="preserve">Mọi chỗ render lấy mảng từ API mà không || []; phản hồi POST/PUT khác GET.</t>
  </si>
  <si>
    <t xml:space="preserve">PT-10</t>
  </si>
  <si>
    <t xml:space="preserve">staff.css #diag</t>
  </si>
  <si>
    <t xml:space="preserve">Chữ cảnh báo trên thanh trạng thái khó đọc.</t>
  </si>
  <si>
    <t xml:space="preserve">Dùng lớp .warn chung (thiết kế cho hộp nền sáng) trên nền tối.</t>
  </si>
  <si>
    <t xml:space="preserve">Lớp riêng #diag.diag-warn{color:#ffd9a0}.</t>
  </si>
  <si>
    <t xml:space="preserve">tests/phattai-v174-build-strip.test.mjs: "STRIP the staff warning colour is its own class: the generic .warn box made it unreadable on the device".</t>
  </si>
  <si>
    <t xml:space="preserve">Lớp CSS dùng chung cho nhiều màu nền.</t>
  </si>
  <si>
    <t xml:space="preserve">PT-11</t>
  </si>
  <si>
    <t xml:space="preserve">CSS / QR</t>
  </si>
  <si>
    <t xml:space="preserve">app.css thanh phiên bản</t>
  </si>
  <si>
    <t xml:space="preserve">Thanh phiên bản trang QR không dính khi cuộn.</t>
  </si>
  <si>
    <t xml:space="preserve">position:sticky vô hiệu khi html/body có overflow-x:hidden.</t>
  </si>
  <si>
    <t xml:space="preserve">position:fixed + margin-top cho .app.</t>
  </si>
  <si>
    <t xml:space="preserve">tests/phattai-v174-build-strip.test.mjs: "STRIP the customer page pins the strip to the top and moves the app below it".</t>
  </si>
  <si>
    <t xml:space="preserve">sticky trong cha có overflow khác visible.</t>
  </si>
  <si>
    <t xml:space="preserve">3456ad2 (bắt được trước khi phát hành)</t>
  </si>
  <si>
    <t xml:space="preserve">PT-12</t>
  </si>
  <si>
    <t xml:space="preserve">thanh chẩn đoán</t>
  </si>
  <si>
    <t xml:space="preserve">Màn 360x720</t>
  </si>
  <si>
    <t xml:space="preserve">Thanh trạng thái cao 3 dòng chiếm màn nhỏ.</t>
  </si>
  <si>
    <t xml:space="preserve">Nội dung chẩn đoán quá dài ở dòng thường.</t>
  </si>
  <si>
    <t xml:space="preserve">Rút gọn; chữ ký APK chỉ hiện khi sai khóa.</t>
  </si>
  <si>
    <t xml:space="preserve">tests/phattai-v174-build-strip.test.mjs: "STRIP the staff strip shows APK, Server, Menu, realtime, sync and clock" (đúng một dòng); scripts/e2e-staff.mjs: thanh cao ≤ 30 px trên 360x720.</t>
  </si>
  <si>
    <t xml:space="preserve">Mọi thành phần cố định trên màn 360x720.</t>
  </si>
  <si>
    <t xml:space="preserve">PT-13</t>
  </si>
  <si>
    <t xml:space="preserve">Worker / Auth</t>
  </si>
  <si>
    <t xml:space="preserve">src/password.js; register/login hội viên; login nhân viên</t>
  </si>
  <si>
    <t xml:space="preserve">Cloudflare Workers Free (CPU 10 ms)</t>
  </si>
  <si>
    <t xml:space="preserve">Giới hạn nền tảng</t>
  </si>
  <si>
    <t xml:space="preserve">Đăng ký/đăng nhập hội viên báo "thất bại" chung chung; nhân viên không đăng nhập được trên production. Local test xanh.</t>
  </si>
  <si>
    <t xml:space="preserve">Băm mật khẩu PBKDF2 120.000 vòng tốn 50–90 ms CPU &gt; 10 ms/request của gói Free. Cloudflare cắt request, trả lỗi 1102 dạng HTML; client gọi response.json() thất bại nên hiện lỗi chung. Node local không giới hạn CPU nên test không bắt được.</t>
  </si>
  <si>
    <t xml:space="preserve">HMAC-SHA256 với khóa dẫn xuất HKDF từ PASSWORD_PEPPER hoặc SESSION_SECRET (tiền tố k1:); hash PBKDF2 cũ vẫn verify được khi CPU cho phép.</t>
  </si>
  <si>
    <t xml:space="preserve">tests/phattai-v177-members-cpu-phone.test.mjs: "CPU registering, signing in and changing a member password does no PBKDF2 and stays far under 10 ms", "CPU staff accounts: created and signed in with the keyed hash, no PBKDF2", "CPU members and staff made before still sign in with their PBKDF2 hash".</t>
  </si>
  <si>
    <t xml:space="preserve">Mọi tác vụ trong 1 request: crypto nặng, JSON.parse lớn, chuỗi truy vấn D1 nối tiếp? Client có xử lý phản hồi HTML/không phải JSON? Đổi PEPPER/SESSION_SECRET làm mất mọi hash keyed → cần quy trình đổi khóa.</t>
  </si>
  <si>
    <t xml:space="preserve">df6cf98 (Worker 2.12.0-phattai.1)</t>
  </si>
  <si>
    <t xml:space="preserve">PT-14</t>
  </si>
  <si>
    <t xml:space="preserve">Worker + mọi UI / Hội viên</t>
  </si>
  <si>
    <t xml:space="preserve">src/worker.js phone(); app.js; staff.js; scanner</t>
  </si>
  <si>
    <t xml:space="preserve">Khách có số +84/mã nước khác</t>
  </si>
  <si>
    <t xml:space="preserve">Validate lặp nhiều tầng</t>
  </si>
  <si>
    <t xml:space="preserve">Khách QR đăng ký hội viên "thất bại"; số +xx bị từ chối.</t>
  </si>
  <si>
    <t xml:space="preserve">Regex ^0\d{9,10}$ copy ở 8+ nơi (Worker, QR, staff, scanner, pattern/maxlength HTML).</t>
  </si>
  <si>
    <t xml:space="preserve">Một quy tắc duy nhất phone() ở Worker: +840…/+84…/84… → 0…; chấp nhận 0+9–10 số hoặc +mã nước 12–13 ký tự; bản client có test đối chiếu kết quả với Worker.</t>
  </si>
  <si>
    <t xml:space="preserve">tests/phattai-v177-members-cpu-phone.test.mjs: "PHONE local 0 + 9-10 digits, or +country code…", "PHONE the QR page and the staff app apply exactly the Worker rule", "PHONE a scanned +country number is treated as a member"; scripts/e2e-staff.mjs đăng ký +886 (QR) và +84 (máy cầm tay).</t>
  </si>
  <si>
    <t xml:space="preserve">Mỗi quy tắc dữ liệu (SĐT, email, mã bàn, voucher) một nguồn duy nhất + test đối chiếu.</t>
  </si>
  <si>
    <t xml:space="preserve">df6cf98</t>
  </si>
  <si>
    <t xml:space="preserve">PT-15</t>
  </si>
  <si>
    <t xml:space="preserve">Worker / Hội viên</t>
  </si>
  <si>
    <t xml:space="preserve">src/worker.js lastSix(), passwordCandidates(); public/assets/app.js, public/staff/staff.js (câu hướng dẫn)</t>
  </si>
  <si>
    <t xml:space="preserve">Khách không đăng nhập được bằng mật khẩu mặc định.</t>
  </si>
  <si>
    <t xml:space="preserve">Mật khẩu mặc định = toàn bộ SĐT; khách gõ +84… hay 0… cho chuỗi khác nhau.</t>
  </si>
  <si>
    <t xml:space="preserve">Mật khẩu mặc định = 6 số cuối; vẫn nhận số đầy đủ và 6 số cuối của hội viên cũ.</t>
  </si>
  <si>
    <t xml:space="preserve">tests/phattai-v177-members-cpu-phone.test.mjs: "FIRST PASSWORD is the last 6 digits of the phone, whatever format…", "FIRST PASSWORD members registered earlier…", "FIRST PASSWORD both apps tell the customer and the cashier about the 6 digits".</t>
  </si>
  <si>
    <t xml:space="preserve">Mật khẩu đoán được → giới hạn 8 lần/15 phút; cần bắt đổi mật khẩu lần đầu.</t>
  </si>
  <si>
    <t xml:space="preserve">edf1d40</t>
  </si>
  <si>
    <t xml:space="preserve">PT-16</t>
  </si>
  <si>
    <t xml:space="preserve">2026-10-01</t>
  </si>
  <si>
    <t xml:space="preserve">Staff UI / Báo cáo</t>
  </si>
  <si>
    <t xml:space="preserve">public/staff/staff.js click listener (const action=b.dataset.action;if(!action)return;)</t>
  </si>
  <si>
    <t xml:space="preserve">Event delegation</t>
  </si>
  <si>
    <t xml:space="preserve">Nút chip/"Xóa" trong báo cáo không phản hồi.</t>
  </si>
  <si>
    <t xml:space="preserve">Guard sớm if(!action)return chặn nút không có data-action trước khi tới handler.</t>
  </si>
  <si>
    <t xml:space="preserve">Đưa guard xuống sau các handler riêng.</t>
  </si>
  <si>
    <t xml:space="preserve">tests/phattai-v171-shift-reports.test.mjs: "SHIFTS Staff UI: day → one tap on a shift or a staff member…" kiểm handler chip/Xóa đứng trước guard.</t>
  </si>
  <si>
    <t xml:space="preserve">Guard sớm trong event delegation nuốt sự kiện.</t>
  </si>
  <si>
    <t xml:space="preserve">c57fd8a (ID cũ PT-a) (ID cũ PT-a)</t>
  </si>
  <si>
    <t xml:space="preserve">PT-17</t>
  </si>
  <si>
    <t xml:space="preserve">Staff UI / Ca</t>
  </si>
  <si>
    <t xml:space="preserve">public/staff/staff.js &lt;details class="report-custom"&gt; / trình sửa ca báo cáo (st.shiftEditorOpen)</t>
  </si>
  <si>
    <t xml:space="preserve">E2E</t>
  </si>
  <si>
    <t xml:space="preserve">E2E không bấm được report-shift-add.</t>
  </si>
  <si>
    <t xml:space="preserve">&lt;details&gt; bị đóng lại sau render.</t>
  </si>
  <si>
    <t xml:space="preserve">Lưu trạng thái mở/đóng vào state.</t>
  </si>
  <si>
    <t xml:space="preserve">scripts/e2e-staff.mjs: bấm report-shift-add rồi thêm ca.</t>
  </si>
  <si>
    <t xml:space="preserve">Trạng thái mở/đóng phải đồng bộ khi render.</t>
  </si>
  <si>
    <t xml:space="preserve">fdc7f9b (ID cũ PT-b) (ID cũ PT-b)</t>
  </si>
  <si>
    <t xml:space="preserve">PT-18</t>
  </si>
  <si>
    <t xml:space="preserve">Worker / Phiên</t>
  </si>
  <si>
    <t xml:space="preserve">src/ops.js sessionActor (SESSION_RENEW_AFTER_MS); android PosAuth</t>
  </si>
  <si>
    <t xml:space="preserve">Ca dài</t>
  </si>
  <si>
    <t xml:space="preserve">Phiên đăng nhập</t>
  </si>
  <si>
    <t xml:space="preserve">Phiên chết cứng sau 12 giờ giữa ca.</t>
  </si>
  <si>
    <t xml:space="preserve">Hạn phiên cố định từ lúc đăng nhập.</t>
  </si>
  <si>
    <t xml:space="preserve">Phiên trượt: gia hạn khi còn dùng (SESSION_RENEW_AFTER_MS).</t>
  </si>
  <si>
    <t xml:space="preserve">tests/phattai-v172-time-of-day.test.mjs: "TIME a session in use slides forward; one idle for 12 hours ends".</t>
  </si>
  <si>
    <t xml:space="preserve">Hạn cố định vs trượt cho thiết bị dùng cả ngày.</t>
  </si>
  <si>
    <t xml:space="preserve">f086760 (ID cũ PT-c) (ID cũ PT-c)</t>
  </si>
  <si>
    <t xml:space="preserve">PT-19</t>
  </si>
  <si>
    <t xml:space="preserve">Staff UI / Đồng bộ</t>
  </si>
  <si>
    <t xml:space="preserve">public/staff/staff.js scheduler, pollAutoPrint, /api/staff/me</t>
  </si>
  <si>
    <t xml:space="preserve">Gói Free (100k request/ngày)</t>
  </si>
  <si>
    <t xml:space="preserve">16 lần gọi/phút lúc rảnh.</t>
  </si>
  <si>
    <t xml:space="preserve">Polling mọi màn hình với chu kỳ ngắn.</t>
  </si>
  <si>
    <t xml:space="preserve">Scheduler gộp, realtime giảm polling; còn 6 gọi/phút.</t>
  </si>
  <si>
    <t xml:space="preserve">tests/phattai-v162-optimization.test.mjs: các test SCHEDULER (realtime giảm polling, print 10 s khi realtime online); scripts/e2e-staff.mjs: máy cầm tay rảnh ≤ 6 lần gọi API trong 20 s.</t>
  </si>
  <si>
    <t xml:space="preserve">Ước tính request/ngày = máy × gọi/phút × giờ mở cửa × số quán.</t>
  </si>
  <si>
    <t xml:space="preserve">f086760 (ID cũ PT-d) (ID cũ PT-d)</t>
  </si>
  <si>
    <t xml:space="preserve">PT-20</t>
  </si>
  <si>
    <t xml:space="preserve">Staff UI / Ngày</t>
  </si>
  <si>
    <t xml:space="preserve">public/staff/staff.js rollDay(), vnToday()</t>
  </si>
  <si>
    <t xml:space="preserve">Máy mở qua đêm</t>
  </si>
  <si>
    <t xml:space="preserve">Thời gian</t>
  </si>
  <si>
    <t xml:space="preserve">Sau nửa đêm vẫn hiện ngày cũ.</t>
  </si>
  <si>
    <t xml:space="preserve">Ngày làm việc chỉ tính lúc mở trang.</t>
  </si>
  <si>
    <t xml:space="preserve">rollDay() cập nhật khi qua ngày (giờ VN).</t>
  </si>
  <si>
    <t xml:space="preserve">tests/phattai-v178-buglist.test.mjs: "PT-20 a device left open past midnight moves the dates nobody touched to the new Vietnam day" (thêm 05/10/2026).</t>
  </si>
  <si>
    <t xml:space="preserve">Mọi giá trị "hôm nay" tính lúc load.</t>
  </si>
  <si>
    <t xml:space="preserve">f086760; test b96269a (ID cũ PT-e) (ID cũ PT-e)</t>
  </si>
  <si>
    <t xml:space="preserve">PT-21</t>
  </si>
  <si>
    <t xml:space="preserve">Worker / Báo cáo</t>
  </si>
  <si>
    <t xml:space="preserve">src/reports.js analytics (lịch sử 7 ngày)</t>
  </si>
  <si>
    <t xml:space="preserve">Gói Free (CPU, D1)</t>
  </si>
  <si>
    <t xml:space="preserve">Báo cáo chậm.</t>
  </si>
  <si>
    <t xml:space="preserve">Lịch sử 7 ngày gọi daily() cho từng ngày: 35 truy vấn, tổng 37 lần gọi D1 nối tiếp trong một request.</t>
  </si>
  <si>
    <t xml:space="preserve">3 truy vấn gom theo ngày (GROUP BY), tổng 12 lần gọi D1; đối chiếu bằng tay với daily() từng ngày, kể cả bill tách và hoàn tiền.</t>
  </si>
  <si>
    <t xml:space="preserve">tests/phattai-v172-time-of-day.test.mjs: "PERF analytics history (3 grouped queries) equals the per-day daily() report, incl. split bills and refunds".</t>
  </si>
  <si>
    <t xml:space="preserve">Đếm truy vấn D1/request cho endpoint nặng.</t>
  </si>
  <si>
    <t xml:space="preserve">f086760 (ID cũ PT-f) (ID cũ PT-f)</t>
  </si>
  <si>
    <t xml:space="preserve">PT-22</t>
  </si>
  <si>
    <t xml:space="preserve">Worker / Rate limit</t>
  </si>
  <si>
    <t xml:space="preserve">src/worker.js rate() cho member-register / member-login</t>
  </si>
  <si>
    <t xml:space="preserve">Quán dùng chung 1 IP</t>
  </si>
  <si>
    <t xml:space="preserve">Rate limit theo IP</t>
  </si>
  <si>
    <t xml:space="preserve">Khách thật bị chặn đăng ký/đăng nhập.</t>
  </si>
  <si>
    <t xml:space="preserve">Giới hạn 5 lần/15 phút theo IP; cả quán NAT chung 1 IP.</t>
  </si>
  <si>
    <t xml:space="preserve">Giới hạn theo nhân viên 60/120 + hoàn lại lượt khi thành công.</t>
  </si>
  <si>
    <t xml:space="preserve">tests/phattai-v173-members.test.mjs: "MEMBER a busy shop behind one Wi-Fi address can register and log in more than a handful of customers per 15 minutes", "MEMBER guessing is still stopped…".</t>
  </si>
  <si>
    <t xml:space="preserve">Nơi nào khách cả quán dùng chung IP?</t>
  </si>
  <si>
    <t xml:space="preserve">6afb41c (ID cũ PT-g) (ID cũ PT-g)</t>
  </si>
  <si>
    <t xml:space="preserve">PT-23</t>
  </si>
  <si>
    <t xml:space="preserve">2026-10-05</t>
  </si>
  <si>
    <t xml:space="preserve">Staff UI / Sản phẩm, Vai trò</t>
  </si>
  <si>
    <t xml:space="preserve">public/staff/staff.js listener submit: f.id → fid=f.getAttribute('id')</t>
  </si>
  <si>
    <t xml:space="preserve">Mọi trình duyệt và WebView SUNMI; form Thêm/Sửa món, Tạo vai trò</t>
  </si>
  <si>
    <t xml:space="preserve">Giao diện / DOM</t>
  </si>
  <si>
    <t xml:space="preserve">Thêm món mới, sửa giá món có sẵn và tạo vai trò mới trên máy cầm tay/quầy đều không lưu: bấm Lưu thì trang tải lại với ?id=…&amp;sku=… trên URL, không gọi API. Thực đơn Phát Tài được nạp bằng migration nên chưa ai thấy.</t>
  </si>
  <si>
    <t xml:space="preserve">Form món và form tạo vai trò có ô &lt;input name="id"&gt;. Thuộc tính form.id trả về phần tử con tên "id" (named-property shadowing) chứ không phải chuỗi id của form, nên ['product-form',…].includes(f.id) sai, listener bỏ qua form và không preventDefault → trình duyệt gửi GET. Có từ code nền Phát Tài; lộ ra khi SaaS viết E2E tạo món (SAAS-28).</t>
  </si>
  <si>
    <t xml:space="preserve">Listener submit đọc fid=f.getAttribute('id'); mọi so sánh trong listener dùng fid.</t>
  </si>
  <si>
    <t xml:space="preserve">tests/phattai-v178-buglist.test.mjs: "PT-23 forms are told apart by their id attribute…" (cấm f.id/form.id, mọi form có handler phải nằm trong danh sách cho phép); scripts/e2e-staff.mjs: "the owner adds a dish from the handheld and it is in the menu", "the owner changes the price of that dish from the handheld" (đã chạy trên code cũ: đỏ).</t>
  </si>
  <si>
    <t xml:space="preserve">Không đọc form.id / form.action / form.name khi form có thể có ô cùng tên; luôn getAttribute. Mỗi form tạo/sửa dữ liệu phải có một bước E2E bấm Lưu và kiểm dữ liệu trên server.</t>
  </si>
  <si>
    <t xml:space="preserve">b96269a; cùng lỗi SAAS-28 (lotus-pos-saas e520287)</t>
  </si>
  <si>
    <t xml:space="preserve">PT-24</t>
  </si>
  <si>
    <t xml:space="preserve">Staff UI / Sản phẩm, Voucher, Tài khoản</t>
  </si>
  <si>
    <t xml:space="preserve">public/staff/staff.js pattern="" của ô Mã món, Mã voucher, Tên đăng nhập</t>
  </si>
  <si>
    <t xml:space="preserve">Chrome mới trên máy quầy (pattern biên dịch với cờ v); SUNMI Chromium 83 không bị</t>
  </si>
  <si>
    <t xml:space="preserve">Kiểm tra đầu vào</t>
  </si>
  <si>
    <t xml:space="preserve">Console báo "Pattern attribute value [A-Za-z0-9_-]{1,24} is not a valid regular expression"; ô nhận cả ký tự sai, chỉ Worker từ chối khi lưu.</t>
  </si>
  <si>
    <t xml:space="preserve">Chrome biên dịch pattern với cờ v; ở chế độ này dấu - trần trước ] trong lớp ký tự là lỗi cú pháp nên trình duyệt bỏ qua cả pattern. Chromium 83 (cờ u) vẫn chạy nên không thấy trên SUNMI.</t>
  </si>
  <si>
    <t xml:space="preserve">Viết \- trong lớp ký tự (hợp lệ ở cả cờ u và v) cho 3 pattern.</t>
  </si>
  <si>
    <t xml:space="preserve">tests/phattai-v178-buglist.test.mjs: "PT-24 every pattern="" compiles with the v flag that current Chrome uses" (staff.js, app.js, index.html của staff/counter/qr).</t>
  </si>
  <si>
    <t xml:space="preserve">Kiểm pattern HTML bằng new RegExp(p,'v'), không chỉ thử trên máy cũ.</t>
  </si>
  <si>
    <t xml:space="preserve">b96269a; cùng lỗi SAAS-29 (lotus-pos-saas e520287)</t>
  </si>
  <si>
    <t xml:space="preserve">PT-25</t>
  </si>
  <si>
    <t xml:space="preserve">public/staff/staff.js render(), liveSync(), listener submit</t>
  </si>
  <si>
    <t xml:space="preserve">Máy cầm tay/quầy khi đang gõ đúng lúc đồng bộ nền chạy xong</t>
  </si>
  <si>
    <t xml:space="preserve">Đồng bộ / giao diện</t>
  </si>
  <si>
    <t xml:space="preserve">Đang gõ trong một form (tên món, SĐT, ghi chú) thì chữ biến mất đúng lúc máy đồng bộ dữ liệu mới.</t>
  </si>
  <si>
    <t xml:space="preserve">liveSync() kiểm "đang gõ trong form" TRƯỚC các await (tải đơn, tải catalog) rồi vẫn render() sau khi await xong; render() dựng lại #app bằng innerHTML nên ô đang gõ bị thay mới.</t>
  </si>
  <si>
    <t xml:space="preserve">liveSync kiểm lại document.activeElement ngay trước render; render() giữ chữ, vị trí con trỏ và focus của ô đang gõ (typingField/keepTyping); submit blur ô trước khi lưu để form được xóa sau khi lưu thành công.</t>
  </si>
  <si>
    <t xml:space="preserve">tests/phattai-v178-buglist.test.mjs: "PT-25 a render keeps the field being typed in, and the background sync looks again before rendering".</t>
  </si>
  <si>
    <t xml:space="preserve">Mọi render sau một await phải đọc lại trạng thái người dùng tại thời điểm render, không dùng biến đã đọc trước await. Bản sửa này chỉ giữ ô đang focus: xem PT-32.</t>
  </si>
  <si>
    <t xml:space="preserve">b96269a; cùng lỗi SAAS-30 (lotus-pos-saas e520287)</t>
  </si>
  <si>
    <t xml:space="preserve">PT-26</t>
  </si>
  <si>
    <t xml:space="preserve">Worker / Đơn hàng; Web QR biên lai ảnh</t>
  </si>
  <si>
    <t xml:space="preserve">src/worker.js calculate(); public/assets/app.js makeReceiptPng()</t>
  </si>
  <si>
    <t xml:space="preserve">Món một cỡ, không cay (3 món canh, 2 combo cơm + canh từ thực đơn 01/10/2026)</t>
  </si>
  <si>
    <t xml:space="preserve">Giá trị mặc định</t>
  </si>
  <si>
    <r>
      <rPr>
        <sz val="10"/>
        <rFont val="Arial"/>
        <family val="0"/>
        <charset val="1"/>
      </rPr>
      <t xml:space="preserve">Canh và combo hiện "Tô thường / </t>
    </r>
    <r>
      <rPr>
        <sz val="10"/>
        <rFont val="Noto Sans CJK SC"/>
        <family val="2"/>
      </rPr>
      <t xml:space="preserve">中碗 </t>
    </r>
    <r>
      <rPr>
        <sz val="10"/>
        <rFont val="Arial"/>
        <family val="0"/>
        <charset val="1"/>
      </rPr>
      <t xml:space="preserve">· Cay vừa / </t>
    </r>
    <r>
      <rPr>
        <sz val="10"/>
        <rFont val="Noto Sans CJK SC"/>
        <family val="2"/>
      </rPr>
      <t xml:space="preserve">中辣</t>
    </r>
    <r>
      <rPr>
        <sz val="10"/>
        <rFont val="Arial"/>
        <family val="0"/>
        <charset val="1"/>
      </rPr>
      <t xml:space="preserve">" trên phiếu bếp, chi tiết đơn, biên lai và ảnh biên lai QR dù món không có cỡ/độ cay.</t>
    </r>
  </si>
  <si>
    <r>
      <rPr>
        <sz val="10"/>
        <rFont val="Arial"/>
        <family val="0"/>
        <charset val="1"/>
      </rPr>
      <t xml:space="preserve">calculate() luôn gán size='</t>
    </r>
    <r>
      <rPr>
        <sz val="10"/>
        <rFont val="Noto Sans CJK SC"/>
        <family val="2"/>
      </rPr>
      <t xml:space="preserve">中</t>
    </r>
    <r>
      <rPr>
        <sz val="10"/>
        <rFont val="Arial"/>
        <family val="0"/>
        <charset val="1"/>
      </rPr>
      <t xml:space="preserve">', spice='</t>
    </r>
    <r>
      <rPr>
        <sz val="10"/>
        <rFont val="Noto Sans CJK SC"/>
        <family val="2"/>
      </rPr>
      <t xml:space="preserve">中</t>
    </r>
    <r>
      <rPr>
        <sz val="10"/>
        <rFont val="Arial"/>
        <family val="0"/>
        <charset val="1"/>
      </rPr>
      <t xml:space="preserve">' làm mặc định để kiểm hợp lệ rồi lưu cả hai vào mods của mọi món, kể cả món pos_products.size=0, spicy=0; mọi đường in hiển thị mods.size/spice khi có.</t>
    </r>
  </si>
  <si>
    <r>
      <rPr>
        <sz val="10"/>
        <rFont val="Arial"/>
        <family val="0"/>
        <charset val="1"/>
      </rPr>
      <t xml:space="preserve">Vẫn kiểm hợp lệ với mặc định '</t>
    </r>
    <r>
      <rPr>
        <sz val="10"/>
        <rFont val="Noto Sans CJK SC"/>
        <family val="2"/>
      </rPr>
      <t xml:space="preserve">中</t>
    </r>
    <r>
      <rPr>
        <sz val="10"/>
        <rFont val="Arial"/>
        <family val="0"/>
        <charset val="1"/>
      </rPr>
      <t xml:space="preserve">' nhưng chỉ lưu size/spice khi món có tùy chọn đó; biên lai ảnh QR chỉ in dòng cỡ/cay khi có.</t>
    </r>
  </si>
  <si>
    <t xml:space="preserve">tests/phattai-v178-buglist.test.mjs: "PT-26 a soup or combo is not stored as "Tô thường · Cay vừa"; a rice plate keeps its options" (canh 115 không có mods.size/spice; tô lớn của canh vẫn bị từ chối).</t>
  </si>
  <si>
    <t xml:space="preserve">Giá trị mặc định chỉ dùng để kiểm hợp lệ; dữ liệu lưu phải phản ánh đúng thứ khách chọn được. Thêm loại món mới (canh, combo, đồ uống) thì rà mọi chỗ in tùy chọn.</t>
  </si>
  <si>
    <t xml:space="preserve">b96269a; cùng lỗi SAAS-20 (lotus-pos-saas 9d4b2ae)</t>
  </si>
  <si>
    <t xml:space="preserve">PT-27</t>
  </si>
  <si>
    <t xml:space="preserve">POS quầy / Chi tiết đơn</t>
  </si>
  <si>
    <t xml:space="preserve">public/staff/staff.js tiêu đề #counter-page-title; public/counter/poc-counter.css</t>
  </si>
  <si>
    <t xml:space="preserve">Web /counter/</t>
  </si>
  <si>
    <t xml:space="preserve">Giao diện</t>
  </si>
  <si>
    <t xml:space="preserve">Mở một đơn trên máy quầy không thấy mã đơn ở đâu (chỉ có bàn, trạng thái), thu ngân không đối chiếu được với khách/bếp.</t>
  </si>
  <si>
    <t xml:space="preserve">CSS quầy ẩn #app&gt;h1 (nơi có mã đơn) vì tiêu đề chuyển lên thanh trên, nhưng tiêu đề thanh trên chỉ lấy tên màn hình, không lấy đơn đang mở.</t>
  </si>
  <si>
    <t xml:space="preserve">Tiêu đề quầy hiện "&lt;mã đơn&gt; · &lt;bàn&gt;" (hoặc "Mang đi") khi đang mở một đơn.</t>
  </si>
  <si>
    <t xml:space="preserve">tests/phattai-v178-buglist.test.mjs: "PT-27 the counter title shows the open order code and table".</t>
  </si>
  <si>
    <t xml:space="preserve">Khi CSS ẩn một phần tử để chuyển chỗ hiển thị, kiểm nơi mới có đủ mọi trạng thái của nơi cũ.</t>
  </si>
  <si>
    <t xml:space="preserve">b96269a; cùng lỗi SAAS-23 (lotus-pos-saas 9d4b2ae)</t>
  </si>
  <si>
    <t xml:space="preserve">PT-28</t>
  </si>
  <si>
    <t xml:space="preserve">Worker / Cấu hình quán</t>
  </si>
  <si>
    <t xml:space="preserve">src/settings.js GET vs PUT /api/staff/store</t>
  </si>
  <si>
    <t xml:space="preserve">Client đọc rồi ghi lại cấu hình (app Android, công cụ quản trị)</t>
  </si>
  <si>
    <t xml:space="preserve">Hợp đồng API</t>
  </si>
  <si>
    <t xml:space="preserve">Gửi lại nguyên dữ liệu GET /api/staff/store vào PUT bị 400 INVALID_STORE. Giao diện hiện tại tự ánh xạ nên chưa lộ.</t>
  </si>
  <si>
    <t xml:space="preserve">GET trả name/nameCn (publicStore) nhưng PUT đọc storeName/storeNameCn; hai chiều dùng tên trường khác nhau.</t>
  </si>
  <si>
    <t xml:space="preserve">GET (và phản hồi PUT) trả thêm storeName/storeNameCn; PUT nhận storeName hoặc name (storeNameCn hoặc nameCn).</t>
  </si>
  <si>
    <t xml:space="preserve">tests/phattai-v178-buglist.test.mjs: "PT-28 what GET /api/staff/store returns can be sent back to PUT unchanged".</t>
  </si>
  <si>
    <t xml:space="preserve">Endpoint đọc/ghi cùng tài nguyên phải dùng cùng tên trường; có test round-trip GET→PUT.</t>
  </si>
  <si>
    <t xml:space="preserve">b96269a; cùng lỗi SAAS-16 (lotus-pos-saas 9d4b2ae)</t>
  </si>
  <si>
    <t xml:space="preserve">PT-29</t>
  </si>
  <si>
    <t xml:space="preserve">In / Biên lai</t>
  </si>
  <si>
    <t xml:space="preserve">public/staff/staff.js receiptPayload(), browserReceipt(); public/counter/devices.js receipt(); android MainActivity.printReceiptData, TicketBitmap; src/staff.js thanh toán; migrations/0021_receipt_cashier.sql</t>
  </si>
  <si>
    <t xml:space="preserve">Mọi đường in biên lai: SUNMI máy in trong, SUNMI LAN, máy quầy XP-Q200, in trình duyệt</t>
  </si>
  <si>
    <t xml:space="preserve">Nghiệp vụ / pháp lý</t>
  </si>
  <si>
    <r>
      <rPr>
        <sz val="10"/>
        <rFont val="Arial"/>
        <family val="0"/>
        <charset val="1"/>
      </rPr>
      <t xml:space="preserve">Phiếu sau thanh toán ghi "HÓA ĐƠN THANH TOÁN"/"Mã HĐ" (quầy), "PHIEU THANH TOAN" (SUNMI), "HÓA ĐƠN / </t>
    </r>
    <r>
      <rPr>
        <sz val="10"/>
        <rFont val="Noto Sans CJK SC"/>
        <family val="2"/>
      </rPr>
      <t xml:space="preserve">收款小票</t>
    </r>
    <r>
      <rPr>
        <sz val="10"/>
        <rFont val="Arial"/>
        <family val="0"/>
        <charset val="1"/>
      </rPr>
      <t xml:space="preserve">" (SUNMI LAN), "HÓA ĐƠN ĐÃ THANH TOÁN" (trình duyệt) dù quán không phát hành hóa đơn điện tử; không ghi ai thu tiền. Hai nút in trình duyệt cho hai bố cục khác nhau.</t>
    </r>
  </si>
  <si>
    <t xml:space="preserve">Mỗi đường in tự viết tiêu đề cứng và trôi khỏi nhau; đơn và bill không lưu người xác nhận thanh toán nên không in được người thu.</t>
  </si>
  <si>
    <r>
      <rPr>
        <sz val="10"/>
        <rFont val="Arial"/>
        <family val="0"/>
        <charset val="1"/>
      </rPr>
      <t xml:space="preserve">Payload biên lai mang tiêu đề "BIÊN LAI THU TIỀN / </t>
    </r>
    <r>
      <rPr>
        <sz val="10"/>
        <rFont val="Noto Sans CJK SC"/>
        <family val="2"/>
      </rPr>
      <t xml:space="preserve">收款收据</t>
    </r>
    <r>
      <rPr>
        <sz val="10"/>
        <rFont val="Arial"/>
        <family val="0"/>
        <charset val="1"/>
      </rPr>
      <t xml:space="preserve">", câu "Không phải hóa đơn", người thu, giờ thu, lời cảm ơn; mọi đường in đọc từ payload (APK cũ vẫn có giá trị dự phòng). Migration 0021 lưu paid_by/paid_by_name lúc thu cho đơn và bill. Một hàm browserReceipt() cho cả hai nút in.</t>
    </r>
  </si>
  <si>
    <t xml:space="preserve">tests/phattai-v178-buglist.test.mjs: "PT-29 paying an order and a split bill records who took the money; a rename does not change past sales", "PT-29 every print path calls the paper a receipt, says it is not an invoice and names the cashier".</t>
  </si>
  <si>
    <t xml:space="preserve">Chữ trên giấy in là cam kết với khách và thuế: đặt ở một nơi (payload), các máy in chỉ trình bày. Ai làm gì với tiền phải lưu lúc xảy ra, không suy ra sau.</t>
  </si>
  <si>
    <t xml:space="preserve">b96269a; cùng lỗi SAAS-32 (lotus-pos-saas 3f4e431)</t>
  </si>
  <si>
    <t xml:space="preserve">PT-30</t>
  </si>
  <si>
    <t xml:space="preserve">public/counter/devices.js receipt(); android TicketBitmap.java; public/staff/staff.js receiptPayload()</t>
  </si>
  <si>
    <t xml:space="preserve">Máy quầy XP-Q200 và SUNMI LAN sau khi chủ tiệm đổi tên quán</t>
  </si>
  <si>
    <t xml:space="preserve">Dữ liệu quán trong code</t>
  </si>
  <si>
    <t xml:space="preserve">Biên lai quầy luôn kết thúc bằng "Cảm ơn quý khách đã ghé TIỆM SÍU LẬP PHÁT TÀI!" và lấy tên này làm tên dự phòng; bitmap SUNMI LAN lấy "PHÁT TÀI POS". Đổi tên quán trong Cấu hình thì giấy in vẫn ghi tên cũ.</t>
  </si>
  <si>
    <t xml:space="preserve">Câu cảm ơn và tên dự phòng là chuỗi cố định trong mẫu in, không lấy từ cấu hình quán trong D1.</t>
  </si>
  <si>
    <t xml:space="preserve">Câu cảm ơn dựng từ tên quán trong D1 (payload thanks); tên dự phòng "Lotus POS"/"LOTUS POS".</t>
  </si>
  <si>
    <t xml:space="preserve">tests/phattai-v178-buglist.test.mjs: "PT-30 receipts thank customers with the shop name from D1, never a name written into the print code".</t>
  </si>
  <si>
    <t xml:space="preserve">Mọi chữ có tên quán, SĐT, địa chỉ trên giấy in phải đến từ cấu hình; grep tên quán trong mẫu in.</t>
  </si>
  <si>
    <t xml:space="preserve">b96269a; cùng lỗi SAAS-31 (lotus-pos-saas 3f4e431)</t>
  </si>
  <si>
    <t xml:space="preserve">PT-31</t>
  </si>
  <si>
    <t xml:space="preserve">Cloudflare / Ngân sách</t>
  </si>
  <si>
    <t xml:space="preserve">wrangler.jsonc assets.run_worker_first; public/_headers; src/worker.js cuối fetch()</t>
  </si>
  <si>
    <t xml:space="preserve">Gói Workers Free (100.000 request/ngày)</t>
  </si>
  <si>
    <t xml:space="preserve">Mỗi lần khách mở trang QR hay nhân viên mở /staff/, /counter/: HTML, JS, CSS, ảnh đều chạy qua Worker và tính vào 100.000 request/ngày của gói Free, dù Worker chỉ thêm header.</t>
  </si>
  <si>
    <t xml:space="preserve">run_worker_first: true khiến Worker chạy cho cả file tĩnh; header bảo mật (CSP, nosniff, Cache-Control) được Worker gắn thủ công.</t>
  </si>
  <si>
    <t xml:space="preserve">run_worker_first chỉ còn các đường Worker xử lý (/api/*, /app, /releases/*, chặn /kitchen); header của trang chuyển sang public/_headers (trang /counter/ vẫn được gọi cầu in 127.0.0.1:18181).</t>
  </si>
  <si>
    <t xml:space="preserve">tests/phattai-v178-buglist.test.mjs: "PT-31 static pages are served without the Worker and keep their security headers"; scripts/post-deploy-verify.mjs kiểm CSP + nosniff của /qr/, /staff/, /counter/ trên production sau mỗi lần deploy.</t>
  </si>
  <si>
    <t xml:space="preserve">Mỗi tính năng mới: ước tính request/ngày và CPU/request; file tĩnh không được tốn request Worker.</t>
  </si>
  <si>
    <t xml:space="preserve">b96269a; cùng lỗi SAAS-14 (lotus-pos-saas a1960c7)</t>
  </si>
  <si>
    <t xml:space="preserve">PT-32</t>
  </si>
  <si>
    <t xml:space="preserve">Staff UI / Form</t>
  </si>
  <si>
    <t xml:space="preserve">public/staff/staff.js render(), formDrafts/keepDrafts, listener submit</t>
  </si>
  <si>
    <t xml:space="preserve">Máy cầm tay/quầy mạng chậm: mở Sản phẩm (hay màn có form) rồi gõ trước khi dữ liệu tải xong</t>
  </si>
  <si>
    <t xml:space="preserve">Chủ tiệm mở Sản phẩm, gõ món mới ngay; danh sách tải xong thì mọi ô đã gõ trống trơn (kể cả bản sửa PT-25 chỉ giữ ô đang focus). Bấm Lưu không gửi gì vì các ô bắt buộc trống. Làm E2E chập chờn (2/4 lần đỏ) trước khi tìm ra.</t>
  </si>
  <si>
    <t xml:space="preserve">Chuyển màn gọi render() ngay rồi refresh() tải dữ liệu; khi tải xong render() dựng lại #app bằng innerHTML từ state, mà giá trị đang gõ chỉ nằm trong DOM, không có trong state.</t>
  </si>
  <si>
    <t xml:space="preserve">Mọi ô văn bản của form có id được ghi vào formDrafts (theo id form + data-id) ở sự kiện input; render() trả lại giá trị rồi mới trả focus/con trỏ. Lưu thành công thì bỏ bản nháp của form đó (lỗi thì giữ lại); đổi màn hình hoặc đăng xuất thì bỏ hết. Không giữ ô mật khẩu.</t>
  </si>
  <si>
    <t xml:space="preserve">scripts/e2e-staff.mjs: "what the owner typed survives the list arriving late" (mock cầu APK trả /api/staff/products chậm 2,5 s; code cũ: mọi ô trống), "after saving, the new-dish form is empty again"; tests/phattai-v178-buglist.test.mjs: "PT-32 typed form values survive a re-render…".</t>
  </si>
  <si>
    <t xml:space="preserve">Render sau khi tải phải giữ MỌI giá trị người dùng đã gõ, không chỉ ô đang focus. E2E phải có bước gõ trong lúc API trả lời chậm (window.__slow). Repo SaaS mới có bản sửa SAAS-30 (chỉ ô đang focus) nên còn đúng lỗi này.</t>
  </si>
  <si>
    <t xml:space="preserve">b96269a</t>
  </si>
  <si>
    <t xml:space="preserve">PT-33</t>
  </si>
  <si>
    <t xml:space="preserve">CI / GitHub Actions</t>
  </si>
  <si>
    <t xml:space="preserve">.github/workflows/ci.yml (4 job), .github/workflows/apk-device.yml (2 job): runs-on và phiên bản action</t>
  </si>
  <si>
    <t xml:space="preserve">GitHub Actions từ 19/10/2026 (ubuntu-latest chuyển sang Ubuntu 26)</t>
  </si>
  <si>
    <t xml:space="preserve">Quy trình CI</t>
  </si>
  <si>
    <t xml:space="preserve">Mỗi lần chạy CI có cảnh báo "The ubuntu-latest label will migrate to Ubuntu 26 beginning October 19, 2026" và "Node.js 20 is deprecated" cho checkout/setup-node/setup-java/upload-artifact@v4. Chưa hỏng, nhưng từ 19/10 mọi job (Android SDK, Java, Chromium cho E2E, emulator) sẽ chạy trên image chưa thử mà không ai đổi gì; hỏng thì không deploy được bản sửa.</t>
  </si>
  <si>
    <t xml:space="preserve">runs-on: ubuntu-latest là nhãn trôi: GitHub tự đổi image bên dưới theo lịch của họ. Các action @v4 chạy trên Node 20 đã bị khai tử. Cảnh báo chỉ nằm trong annotation, CI vẫn xanh nên không ai đọc.</t>
  </si>
  <si>
    <t xml:space="preserve">Ghim runs-on: ubuntu-24.04 cho cả 6 job (đúng image ubuntu-latest đang dùng); checkout, setup-node, setup-java lên v5, upload-artifact lên v6, setup-python lên v6.</t>
  </si>
  <si>
    <t xml:space="preserve">CI nhánh online-v1.7 run 37278811859 và main run 37279049646 xanh, không còn annotation cảnh báo; APK on Android emulator run 37278843002 xanh (release-apk: 1.7.60 → 1.7.62 trên Android 11, WebView 83; test-build: luồng đầy đủ).</t>
  </si>
  <si>
    <t xml:space="preserve">Ghim phiên bản image runner và action, đổi có chủ đích. Sau mỗi lần chạy đọc cả annotation cảnh báo, không chỉ xanh/đỏ. Repo lotus-pos-saas mới ghim ci.yml (SAAS-25); apk-device.yml bên đó vẫn ubuntu-latest.</t>
  </si>
  <si>
    <t xml:space="preserve">5706299; cùng hướng sửa SAAS-25 (lotus-pos-saas 34b760d)</t>
  </si>
  <si>
    <t xml:space="preserve">PT-34</t>
  </si>
  <si>
    <t xml:space="preserve">Worker / Hội viên, đơn QR</t>
  </si>
  <si>
    <t xml:space="preserve">src/worker.js (register, login, logout, getOrder, body()); src/staff.js (overview, deps.register/login); src/ops.js (inventory)</t>
  </si>
  <si>
    <t xml:space="preserve">Mọi request lỗi định dạng tới đăng ký/đăng nhập hội viên (QR và máy cầm tay), đăng xuất, xem trạng thái đơn</t>
  </si>
  <si>
    <t xml:space="preserve">Async</t>
  </si>
  <si>
    <t xml:space="preserve">Gửi JSON hỏng tới /api/member/register, /api/member/login, /api/staff/members/register: Worker ném lỗi ra ngoài, Cloudflare trả trang lỗi 1101 dạng HTML thay vì JSON 400; body là null thì trả 503 "máy chủ gián đoạn".</t>
  </si>
  <si>
    <t xml:space="preserve">Trong khối try, hàm async được trả về trực tiếp (return register(env,request), ?overview(env,…)) mà không await, nên lỗi của promise không đi qua catch của try. body() chấp nhận JSON null/số rồi code đọc b.x gây TypeError → 503.</t>
  </si>
  <si>
    <t xml:space="preserve">await mọi lời gọi async được return trong try (register, login, logout, getOrder, overview ×13, inventory ×5, deps.register/login); body() từ chối JSON không phải object bằng BAD_JSON.</t>
  </si>
  <si>
    <t xml:space="preserve">tests/phattai-v179-sim-worker.test.mjs: "SIM robustness /api/…: broken JSON, wrong content type and a huge body get a 4xx JSON answer, never a crash" (7 endpoint, đỏ trên code cũ); tests/phattai-v179-ui.test.mjs: "PT-34 every async call returned from inside a try block is awaited…".</t>
  </si>
  <si>
    <t xml:space="preserve">Trong try/catch luôn return await; grep "return f(" và "?f(" của hàm async. Test robustness phải gửi body hỏng tới mọi endpoint POST và yêu cầu JSON 4xx.</t>
  </si>
  <si>
    <t xml:space="preserve">afef54d</t>
  </si>
  <si>
    <t xml:space="preserve">PT-35</t>
  </si>
  <si>
    <t xml:space="preserve">Web QR / Gửi đơn</t>
  </si>
  <si>
    <t xml:space="preserve">public/assets/app.js submit(), dock gửi đơn, thẻ demoBadge trong giỏ</t>
  </si>
  <si>
    <t xml:space="preserve">Điện thoại khách mất Wi-Fi/4G lúc bấm gửi đơn</t>
  </si>
  <si>
    <t xml:space="preserve">Khách mất mạng bấm "Xác nhận gọi món" thì thấy màn "DEMO · Không có đơn thật · Chỉ là bản xem thử"; nút gửi đổi thành "Xem trước (DEMO)". Khách tưởng quán chưa nhận đơn thật.</t>
  </si>
  <si>
    <t xml:space="preserve">isReady() gộp "mất mạng" với "quán chưa bật nhận đơn"; mọi trường hợp !isReady() đều đưa sang màn xem thử DEMO.</t>
  </si>
  <si>
    <t xml:space="preserve">offlineNow() tách riêng: mất mạng hoặc không gọi được server thì báo "Mất kết nối…" và giữ giỏ, nút ghi "Mất kết nối – chưa gửi được", không hiện huy hiệu DEMO; DEMO chỉ còn khi server bảo chưa nhận đơn.</t>
  </si>
  <si>
    <t xml:space="preserve">scripts/sim-browser.mjs: "QR offline: sending is refused with a message and no order is made; back online it goes through" (đỏ trên code cũ); tests/phattai-v179-ui.test.mjs: "PT-35 …".</t>
  </si>
  <si>
    <t xml:space="preserve">Mỗi trạng thái lỗi (mất mạng, server lỗi, quán đóng) phải có câu riêng; không gộp vào một nhánh "chưa sẵn sàng".</t>
  </si>
  <si>
    <t xml:space="preserve">PT-36</t>
  </si>
  <si>
    <t xml:space="preserve">Staff UI / Đăng nhập</t>
  </si>
  <si>
    <t xml:space="preserve">public/staff/staff.js renderLogin()</t>
  </si>
  <si>
    <t xml:space="preserve">Máy cầm tay/quầy dùng tài khoản nhân viên khác "huang"</t>
  </si>
  <si>
    <t xml:space="preserve">Thu ngân gõ tên đăng nhập và sai mật khẩu: thông báo lỗi hiện ra thì ô tên đăng nhập quay về "huang". Lần thử sau là đăng nhập tài khoản chủ tiệm với mật khẩu thu ngân, lại báo sai.</t>
  </si>
  <si>
    <t xml:space="preserve">renderLogin() dựng lại form bằng innerHTML với value="huang" mặc định mỗi khi có thông báo (message() → render()); không giữ giá trị đã gõ. Cùng loại PT-01/PT-32 nhưng màn đăng nhập dùng hàm render riêng nên không được bản sửa PT-32 che.</t>
  </si>
  <si>
    <t xml:space="preserve">renderLogin() giữ bản nháp form và ô đang gõ (keepDrafts/keepTyping) như render(); mật khẩu không lưu vào bản nháp.</t>
  </si>
  <si>
    <t xml:space="preserve">scripts/sim-browser.mjs: "Handheld: after a wrong password the cashier's user name stays filled in" (đỏ trên code cũ); tests/phattai-v179-ui.test.mjs: "PT-36 …".</t>
  </si>
  <si>
    <t xml:space="preserve">Mọi hàm vẽ màn hình (không chỉ render chính) phải giữ dữ liệu đang nhập. Giá trị mặc định trong ô nhập (value="huang") nguy hiểm khi form bị vẽ lại.</t>
  </si>
  <si>
    <t xml:space="preserve">PT-37</t>
  </si>
  <si>
    <t xml:space="preserve">Staff UI / Kết nối</t>
  </si>
  <si>
    <t xml:space="preserve">public/staff/staff.js connection(), vòng auto print</t>
  </si>
  <si>
    <t xml:space="preserve">Máy cầm tay mất mạng rồi có mạng lại</t>
  </si>
  <si>
    <t xml:space="preserve">Sau khi Wi-Fi có lại, máy vẫn hiện "Không kiểm tra được lệnh in bếp: Không kết nối được Worker: Failed to fetch" trên mọi màn hình.</t>
  </si>
  <si>
    <t xml:space="preserve">Vòng kiểm tra in bếp ghi lỗi vào st.error (không hẹn giờ xóa); khi kết nối trở lại không ai xóa lỗi này nên render nào cũng vẽ lại.</t>
  </si>
  <si>
    <t xml:space="preserve">connection() nhận ra lúc chuyển từ mất mạng sang có mạng và xóa thông báo lỗi mạng còn treo.</t>
  </si>
  <si>
    <t xml:space="preserve">scripts/sim-browser.mjs: "Handheld: network loss shows offline, then recovers by itself" (kiểm không còn lỗi mạng sau khi có lại; đỏ trên code cũ); tests/phattai-v179-ui.test.mjs: "PT-37 …".</t>
  </si>
  <si>
    <t xml:space="preserve">Lỗi tạm thời (mạng) phải có điều kiện tự xóa; thông báo không hẹn giờ phải có người dọn.</t>
  </si>
  <si>
    <t xml:space="preserve">PT-38</t>
  </si>
  <si>
    <t xml:space="preserve">Web QR / Tùy chọn món</t>
  </si>
  <si>
    <t xml:space="preserve">public/assets/app.js modal()</t>
  </si>
  <si>
    <t xml:space="preserve">Trang QR, món một cỡ (canh, combo)</t>
  </si>
  <si>
    <r>
      <rPr>
        <sz val="10"/>
        <rFont val="Arial"/>
        <family val="0"/>
        <charset val="1"/>
      </rPr>
      <t xml:space="preserve">Bảng chọn tùy chọn của canh và combo vẫn có mục "Phần ăn: Tô thường / </t>
    </r>
    <r>
      <rPr>
        <sz val="10"/>
        <rFont val="Noto Sans CJK SC"/>
        <family val="2"/>
      </rPr>
      <t xml:space="preserve">中碗</t>
    </r>
    <r>
      <rPr>
        <sz val="10"/>
        <rFont val="Arial"/>
        <family val="0"/>
        <charset val="1"/>
      </rPr>
      <t xml:space="preserve">" dù món không có cỡ.</t>
    </r>
  </si>
  <si>
    <r>
      <rPr>
        <sz val="10"/>
        <rFont val="Arial"/>
        <family val="0"/>
        <charset val="1"/>
      </rPr>
      <t xml:space="preserve">modal() luôn vẽ nhóm cỡ, với món không có cỡ thì vẫn vẽ một nút "Tô thường" (optsSize=['</t>
    </r>
    <r>
      <rPr>
        <sz val="10"/>
        <rFont val="Noto Sans CJK SC"/>
        <family val="2"/>
      </rPr>
      <t xml:space="preserve">中</t>
    </r>
    <r>
      <rPr>
        <sz val="10"/>
        <rFont val="Arial"/>
        <family val="0"/>
        <charset val="1"/>
      </rPr>
      <t xml:space="preserve">']); nhóm cay thì đã có điều kiện p.spicy.</t>
    </r>
  </si>
  <si>
    <t xml:space="preserve">Chỉ vẽ nhóm cỡ khi p.size; Worker vốn đã không lưu cỡ cho món không có cỡ (PT-26).</t>
  </si>
  <si>
    <t xml:space="preserve">scripts/sim-browser.mjs: "QR dish 113..119: the option sheet shows no bowl size…" (6 món đỏ trên code cũ); tests/phattai-v179-ui.test.mjs: "PT-38 the QR option sheet offers a bowl size only for dishes that have one".</t>
  </si>
  <si>
    <t xml:space="preserve">Mọi tùy chọn món trên mọi giao diện (QR, máy cầm tay, phiếu in) phải theo cùng cờ size/spicy của món.</t>
  </si>
  <si>
    <t xml:space="preserve">PT-39</t>
  </si>
  <si>
    <t xml:space="preserve">src/worker.js phone(); public/assets/app.js, public/staff/staff.js memberPhone(); public/staff/scanner.js; câu báo lỗi SĐT</t>
  </si>
  <si>
    <t xml:space="preserve">Khách dùng số di động Trung Quốc đại lục (+86)</t>
  </si>
  <si>
    <t xml:space="preserve">Khách có số +86 138 xxxx xxxx không đăng ký được hội viên (báo thông tin hội viên không hợp lệ). Phát hiện bằng bộ giả lập 05/10.</t>
  </si>
  <si>
    <t xml:space="preserve">Quy tắc số quốc tế đặt ở 12–13 ký tự (\+[1-9]\d{10,11}); số di động +86 có 11 chữ số nên dài 14 ký tự.</t>
  </si>
  <si>
    <t xml:space="preserve">Chủ tiệm quyết định 05/10: số có mã nước dài 12–14 ký tự (\+[1-9]\d{10,12}); sửa đồng thời Worker, hai bản client, máy quét và mọi câu báo lỗi.</t>
  </si>
  <si>
    <t xml:space="preserve">tests/phattai-v180-kitchen-view.test.mjs: "PT-39 a mainland China mobile (+86, 11 digits, 14 characters) can register"; tests/phattai-v177-members-cpu-phone.test.mjs (bảng CASES có +86 hợp lệ, 15 ký tự bị từ chối; client = Worker); tests/phattai-v179-sim-worker.test.mjs.</t>
  </si>
  <si>
    <t xml:space="preserve">Khi đặt giới hạn độ dài, thử với số thật của nhóm khách chính (VN, Đài Loan, Trung Quốc đại lục); chuẩn E.164 cho tới 15 chữ số.</t>
  </si>
  <si>
    <t xml:space="preserve">b07efa6</t>
  </si>
  <si>
    <t xml:space="preserve">PT-40</t>
  </si>
  <si>
    <t xml:space="preserve">Worker + Staff UI / Quyền tài khoản bếp</t>
  </si>
  <si>
    <t xml:space="preserve">src/ops.js kitchenOnly/kitchenOrder; src/staff.js (danh sách đơn, chi tiết đơn, paid-labels, summary, tra hội viên, service-requests); src/customers.js; public/staff/staff.js (nav, kitchenDetail, itemsHtml)</t>
  </si>
  <si>
    <t xml:space="preserve">Tài khoản vai trò KITCHEN trên máy cầm tay/quầy</t>
  </si>
  <si>
    <t xml:space="preserve">Phân quyền dữ liệu</t>
  </si>
  <si>
    <t xml:space="preserve">Tài khoản bếp xem được danh sách khách hàng (SĐT, tổng chi tiêu, điểm), giá từng món, tổng tiền, cách thanh toán và tra cứu hội viên.</t>
  </si>
  <si>
    <t xml:space="preserve">Mọi API đọc đơn và khách chỉ kiểm quyền ORDER_VIEW (bếp có quyền này để in phiếu) rồi trả nguyên dữ liệu; giao diện cũng chỉ dựa vào ORDER_VIEW.</t>
  </si>
  <si>
    <t xml:space="preserve">Chủ tiệm quyết định 05/10: bếp chỉ thấy tên khách, mã đơn, món đã gọi (giữ bàn để giao món). Worker lọc dữ liệu cho tài khoản không có PAYMENT_CONFIRM và ORDER_EDIT: đơn chỉ còn mã, bàn, tên khách, ghi chú, món không giá; ẩn đơn đã trả; chặn 403 danh sách/chi tiết khách, tra hội viên, tổng quan ngày. Giao diện ẩn Khách hàng, Dashboard, QR Order và hiện màn chi tiết chỉ có món.</t>
  </si>
  <si>
    <t xml:space="preserve">tests/phattai-v180-kitchen-view.test.mjs: 6 test PT-40 (không trường tiền/thanh toán nào trong phản hồi, 403 khách hàng/hội viên/tổng quan, thu ngân vẫn thấy giá); scripts/sim-browser.mjs: "Handheld kitchen: …" (mọi màn của tài khoản bếp không có số tiền, mở đơn chỉ thấy món).</t>
  </si>
  <si>
    <t xml:space="preserve">Phân quyền phải lọc ở server, không chỉ ẩn trên giao diện. Mỗi vai trò mới: liệt kê trường dữ liệu nó được thấy và có test quét phản hồi không lộ trường khác.</t>
  </si>
  <si>
    <t xml:space="preserve">PT-41</t>
  </si>
  <si>
    <t xml:space="preserve">CI / E2E</t>
  </si>
  <si>
    <t xml:space="preserve">scripts/e2e-staff.mjs (một lệnh fetch(...).json() của harness); GitHub Actions run 37293401352</t>
  </si>
  <si>
    <t xml:space="preserve">GitHub Actions job e2e (wrangler dev local, Google Chrome của runner)</t>
  </si>
  <si>
    <t xml:space="preserve">Run 37293401352 (commit 4ee557c) đỏ ở job e2e với một dòng "Unexpected token 'E', \"Error: Net\"... is not valid JSON"; deploy bị chặn. Chạy lại cùng code trên CI (run 37294172954) và 3 lần local đều xanh ở bước e2e.</t>
  </si>
  <si>
    <t xml:space="preserve">Chưa xác định. Harness gọi fetch(...).json() và nhận văn bản "Error: Network connection lost." của workerd thay vì JSON, tức Worker local (wrangler dev) đã đứt kết nối hoặc khởi động lại giữa một request. Annotation lúc đó không có dòng script nên không biết bước nào.</t>
  </si>
  <si>
    <t xml:space="preserve">Annotation lỗi E2E giờ ghi kèm dòng script (line N) để lần sau đọc được ngay trên GitHub; không thêm retry để che lỗi.</t>
  </si>
  <si>
    <t xml:space="preserve">Job e2e trong CI; lần đỏ sau phải đọc dòng script trong annotation.</t>
  </si>
  <si>
    <t xml:space="preserve">Fail chỉ xảy ra trên CI thì không đóng bằng cách chạy lại cho xanh: ghi lại bằng chứng và tìm bước hỏng. Harness nên kiểm r.ok trước khi gọi .json() để báo rõ status và nội dung.</t>
  </si>
  <si>
    <t xml:space="preserve">fcd0dcb</t>
  </si>
  <si>
    <t xml:space="preserve">Đang làm</t>
  </si>
  <si>
    <t xml:space="preserve">PT-42</t>
  </si>
  <si>
    <t xml:space="preserve">Đơn hàng / Hoàn tiền</t>
  </si>
  <si>
    <t xml:space="preserve">src/staff.js GET /api/staff/orders; public/staff/staff.js orderList(); public/staff/staff.css</t>
  </si>
  <si>
    <t xml:space="preserve">.../staff/ trên điện thoại, máy SUNMI, trang quầy (Lịch sử đơn)</t>
  </si>
  <si>
    <t xml:space="preserve">Hiển thị trạng thái</t>
  </si>
  <si>
    <t xml:space="preserve">Chủ tiệm gửi ảnh web nhân viên: Đơn đã hoàn tiền toàn bộ vẫn hiện "POS · PAID" và "Đã thanh toán" trong danh sách đơn, giống hệt đơn bình thường; phải mở từng đơn mới thấy đã hoàn.</t>
  </si>
  <si>
    <t xml:space="preserve">API danh sách đơn chỉ trả các cột của qr_orders; tổng hoàn tiền nằm ở pos_refunds và chỉ được tính trong màn chi tiết đơn (overview). Danh sách không có dữ liệu để phân biệt.</t>
  </si>
  <si>
    <r>
      <rPr>
        <sz val="10"/>
        <rFont val="Arial"/>
        <family val="0"/>
        <charset val="1"/>
      </rPr>
      <t xml:space="preserve">Danh sách đơn kèm refundedAmount bằng subquery SUM(amount) trên pos_refunds (dùng idx_refunds_order, tối đa 100 đơn). Đơn có hoàn tiền được tô đỏ, nhãn "ĐÃ HOÀN TIỀN / </t>
    </r>
    <r>
      <rPr>
        <sz val="10"/>
        <rFont val="Noto Sans CJK SC"/>
        <family val="2"/>
      </rPr>
      <t xml:space="preserve">已退款</t>
    </r>
    <r>
      <rPr>
        <sz val="10"/>
        <rFont val="Arial"/>
        <family val="0"/>
        <charset val="1"/>
      </rPr>
      <t xml:space="preserve">" hoặc "HOÀN MỘT PHẦN / </t>
    </r>
    <r>
      <rPr>
        <sz val="10"/>
        <rFont val="Noto Sans CJK SC"/>
        <family val="2"/>
      </rPr>
      <t xml:space="preserve">部分退款</t>
    </r>
    <r>
      <rPr>
        <sz val="10"/>
        <rFont val="Arial"/>
        <family val="0"/>
        <charset val="1"/>
      </rPr>
      <t xml:space="preserve">" và số tiền đã hoàn. Tài khoản bếp vẫn không nhận trường tiền.</t>
    </r>
  </si>
  <si>
    <t xml:space="preserve">tests/phattai-v182-owner-ux.test.mjs: "PT-42 the order list carries the refunded total of each order", "PT-42 a refunded order is drawn in red…"; scripts/sim-browser.mjs: "Handheld: an order refunded in full/in part shows in red on the order list".</t>
  </si>
  <si>
    <t xml:space="preserve">Một trạng thái chỉ có ở màn chi tiết thì danh sách có đang nói sai không? Trạng thái tiền (đã trả, đã hoàn, hoàn một phần) phải thấy được ngay ở danh sách.</t>
  </si>
  <si>
    <t xml:space="preserve">1786d9f</t>
  </si>
  <si>
    <t xml:space="preserve">PT-43</t>
  </si>
  <si>
    <t xml:space="preserve">Giao diện nhân viên / Điều hướng</t>
  </si>
  <si>
    <t xml:space="preserve">public/staff/staff.js render()</t>
  </si>
  <si>
    <t xml:space="preserve">Điện thoại và máy SUNMI (thanh menu dưới cuộn ngang); không lộ ở trang quầy (menu dọc)</t>
  </si>
  <si>
    <t xml:space="preserve">Giao diện / thao tác</t>
  </si>
  <si>
    <t xml:space="preserve">Chủ tiệm báo: Mỗi lần bấm một mục, mở đơn, quay lại hay đồng bộ tự động, thanh menu dưới nhảy về mục đầu tiên; muốn bấm Hoàn tiền, Chấm công, Quản trị phải kéo sang lại mỗi lần.</t>
  </si>
  <si>
    <t xml:space="preserve">render() dựng lại toàn bộ #app (cả &lt;nav&gt;) và chỉ khôi phục nav.scrollTop, viết cho menu dọc của trang quầy. Trên điện thoại menu cuộn ngang (overflow-x), nên scrollLeft luôn về 0.</t>
  </si>
  <si>
    <t xml:space="preserve">Lưu và khôi phục cả scrollLeft lẫn scrollTop của nav trong render().</t>
  </si>
  <si>
    <t xml:space="preserve">tests/phattai-v182-owner-ux.test.mjs: "PT-43 a render keeps the sideways scroll…"; scripts/sim-browser.mjs: "Handheld: the phone menu keeps its sideways scroll after a tap, opening an order and live sync" (đỏ trên code cũ: 200px → 0px).</t>
  </si>
  <si>
    <t xml:space="preserve">Khi giữ trạng thái giao diện qua một lần vẽ lại (cuộn, ô đang gõ, focus), đã tính hết các bố cục chưa: dọc/ngang, điện thoại/quầy?</t>
  </si>
  <si>
    <t xml:space="preserve">PT-44</t>
  </si>
  <si>
    <t xml:space="preserve">public/staff/staff.js nav()</t>
  </si>
  <si>
    <t xml:space="preserve">Điện thoại và máy SUNMI, tài khoản chủ tiệm</t>
  </si>
  <si>
    <t xml:space="preserve">Chủ tiệm yêu cầu: Chủ tiệm có hai lối vào cùng một màn "Món &amp; giá": một mục riêng trên thanh menu và một ô trong Quản trị chủ tiệm, làm menu dài và rối.</t>
  </si>
  <si>
    <t xml:space="preserve">Mục "Món &amp; giá" thêm vào menu theo quyền CATALOG_MANAGE trước khi có màn Quản trị; khi thêm Quản trị không bỏ mục cũ cho chủ tiệm.</t>
  </si>
  <si>
    <t xml:space="preserve">Chủ tiệm vào Món &amp; giá từ Quản trị, mục Quản trị sáng khi đang ở các màn con của nó. Quản lý (MANAGER, có CATALOG_MANAGE nhưng không có Quản trị) vẫn giữ mục Món &amp; giá để không mất lối vào.</t>
  </si>
  <si>
    <t xml:space="preserve">tests/phattai-v182-owner-ux.test.mjs: "PT-44 the owner edits dishes and prices from Quản trị; a manager keeps the menu entry"; scripts/sim-browser.mjs: "Handheld: the owner reaches dishes &amp; prices from Quản trị only…"; scripts/e2e-staff.mjs đi qua Quản trị để sửa giá.</t>
  </si>
  <si>
    <t xml:space="preserve">Khi bỏ một lối vào, vai trò nào chỉ có lối đó? Kiểm quyền (CATALOG_MANAGE của MANAGER) trước khi gỡ.</t>
  </si>
  <si>
    <t xml:space="preserve">PT-45</t>
  </si>
  <si>
    <t xml:space="preserve">Kiểm thử / Mô phỏng</t>
  </si>
  <si>
    <t xml:space="preserve">scripts/sim-browser.mjs case "Handheld: cash short of the total is refused and the order stays unpaid"</t>
  </si>
  <si>
    <t xml:space="preserve">GitHub Actions ubuntu-24.04, Chromium bóp CPU 4 lần</t>
  </si>
  <si>
    <t xml:space="preserve">Test chập chờn</t>
  </si>
  <si>
    <t xml:space="preserve">CI run 37322764520 (main 0b3e27c): CI đỏ với "no message" ở case tiền mặt thiếu, trong khi cùng commit xanh trên nhánh online-v1.7 và chạy ở máy; app vẫn từ chối và đơn vẫn UNPAID.</t>
  </si>
  <si>
    <t xml:space="preserve">Case đọc màn hình sau khi click xong để tìm "chưa đủ", nhưng thông báo tự tắt sau 7 giây. Trên runner tải nặng, click cùng hộp nhập số tiền có thể kéo dài quá thời gian đó nên test thấy màn hình đã sạch. Lỗi ở cách đo, không ở app.</t>
  </si>
  <si>
    <t xml:space="preserve">Case gắn MutationObserver ghi mọi .notice ngay khi hiện, kiểm cả màn hình lẫn danh sách đã ghi; khi hỏng in mã đơn, tổng, các hộp thoại và thông báo đã thấy. Đã kiểm: bỏ thông báo khỏi app thì case vẫn đỏ.</t>
  </si>
  <si>
    <t xml:space="preserve">scripts/sim-browser.mjs: "Handheld: cash short of the total is refused and the order stays unpaid" (chạy trong job e2e của CI).</t>
  </si>
  <si>
    <t xml:space="preserve">Test kiểm một thứ tự biến mất (toast, thông báo có hẹn giờ) có đang đọc nó sau một thao tác dài không? Ghi lại lúc nó xuất hiện, đừng đọc sau.</t>
  </si>
  <si>
    <t xml:space="preserve">93f63ab</t>
  </si>
  <si>
    <t xml:space="preserve">PT-46</t>
  </si>
  <si>
    <t xml:space="preserve">scripts/sim-browser.mjs case "Handheld: pay cash with change; the receipt goes to the SUNMI printer…"</t>
  </si>
  <si>
    <t xml:space="preserve">CI run 37324875053 (main 8627bf7): CI đỏ với "no receipt printed" sau khi thu tiền mặt, trong khi cùng commit xanh trên nhánh; app vẫn in biên lai.</t>
  </si>
  <si>
    <t xml:space="preserve">Case coi mã đơn "-TM" hiện trên màn hình là dấu hiệu đã in xong, rồi đọc ngay hàng đợi in. Nhưng đồng bộ trực tiếp có thể vẽ mã đã trả trước khi callback thanh toán gửi biên lai sang máy in (printReceipt chạy sau). Lỗi ở cách đo, không ở app.</t>
  </si>
  <si>
    <t xml:space="preserve">Case ghi số lệnh in trước khi bấm thanh toán, rồi chờ có lệnh in mới (tối đa 15 s) trước khi đọc. Đã kiểm: bỏ lệnh in khỏi app thì case đỏ. Toàn bộ 105 case xanh khi bóp CPU 6 lần.</t>
  </si>
  <si>
    <t xml:space="preserve">scripts/sim-browser.mjs: "Handheld: pay cash with change; the receipt goes to the SUNMI printer as \"BIÊN LAI THU TIỀN\" naming the cashier".</t>
  </si>
  <si>
    <t xml:space="preserve">Dấu hiệu test đang chờ có thật sự đến sau việc cần kiểm không, hay một đường khác (đồng bộ, realtime) cũng tạo ra nó? Chờ chính kết quả cần kiểm.</t>
  </si>
  <si>
    <t xml:space="preserve">09b0980</t>
  </si>
  <si>
    <t xml:space="preserve">PT-47</t>
  </si>
  <si>
    <t xml:space="preserve">2026-10-06</t>
  </si>
  <si>
    <t xml:space="preserve">Phân ca / Chấm công</t>
  </si>
  <si>
    <t xml:space="preserve">public/staff/staff.js form xếp ca (input type=time); src/management.js POST /api/staff/schedules/bulk</t>
  </si>
  <si>
    <r>
      <rPr>
        <sz val="10"/>
        <rFont val="Arial"/>
        <family val="0"/>
        <charset val="1"/>
      </rPr>
      <t xml:space="preserve">SUNMI V2s, WebView Chromium 83, ngôn ngữ tiếng Trung (ô giờ hiện </t>
    </r>
    <r>
      <rPr>
        <sz val="10"/>
        <rFont val="Noto Sans CJK SC"/>
        <family val="2"/>
      </rPr>
      <t xml:space="preserve">上午</t>
    </r>
    <r>
      <rPr>
        <sz val="10"/>
        <rFont val="Arial"/>
        <family val="0"/>
        <charset val="1"/>
      </rPr>
      <t xml:space="preserve">/</t>
    </r>
    <r>
      <rPr>
        <sz val="10"/>
        <rFont val="Noto Sans CJK SC"/>
        <family val="2"/>
      </rPr>
      <t xml:space="preserve">下午</t>
    </r>
    <r>
      <rPr>
        <sz val="10"/>
        <rFont val="Arial"/>
        <family val="0"/>
        <charset val="1"/>
      </rPr>
      <t xml:space="preserve">)</t>
    </r>
  </si>
  <si>
    <t xml:space="preserve">Nhập liệu / thông báo lỗi</t>
  </si>
  <si>
    <t xml:space="preserve">Chủ tiệm gửi ảnh máy SUNMI, APK 1.7.79: Tạo ca "CA SANG" cho 3 nhân viên trên máy SUNMI báo "Dữ liệu nhập không hợp lệ", không nói sai ô nào; chủ tiệm không tạo được ca.</t>
  </si>
  <si>
    <r>
      <rPr>
        <sz val="10"/>
        <rFont val="Arial"/>
        <family val="0"/>
        <charset val="1"/>
      </rPr>
      <t xml:space="preserve">Server gộp mọi lỗi lịch (giờ ra không sau giờ vào, tên trống, ngày sai, nhân viên bị khóa) vào một mã INVALID_SCHEDULE với câu chung. Cùng thao tác (3 nhân viên, 10:00–14:00) lưu được trên Chromium, nên request từ máy mang một giá trị bị từ chối. Khả năng cao nhất: ô giờ của WebView hiển thị 12 giờ </t>
    </r>
    <r>
      <rPr>
        <sz val="10"/>
        <rFont val="Noto Sans CJK SC"/>
        <family val="2"/>
      </rPr>
      <t xml:space="preserve">上午</t>
    </r>
    <r>
      <rPr>
        <sz val="10"/>
        <rFont val="Arial"/>
        <family val="0"/>
        <charset val="1"/>
      </rPr>
      <t xml:space="preserve">/</t>
    </r>
    <r>
      <rPr>
        <sz val="10"/>
        <rFont val="Noto Sans CJK SC"/>
        <family val="2"/>
      </rPr>
      <t xml:space="preserve">下午</t>
    </r>
    <r>
      <rPr>
        <sz val="10"/>
        <rFont val="Arial"/>
        <family val="0"/>
        <charset val="1"/>
      </rPr>
      <t xml:space="preserve">, chọn "2:00" thành 02:00, trước giờ vào 10:00. Không đọc được request thật trên production để khẳng định.</t>
    </r>
  </si>
  <si>
    <t xml:space="preserve">Giờ vào/ra chọn từ danh sách 24 giờ (05:00–23:30, mỗi 30 phút, kèm "2h chiều"), app kiểm giờ ra sau giờ vào trước khi gửi. Server trả câu nói rõ ô sai: giờ (kèm giá trị), tên ca, ngày, nhân viên bị khóa. Cùng đợt: ca cố định lặp hằng ngày từ ngày bắt đầu (migration 0022).</t>
  </si>
  <si>
    <t xml:space="preserve">tests/phattai-v183-fixed-shifts.test.mjs: "PT-47 a refused schedule says which field is wrong", "the shift form picks hours from a 24-hour list…"; scripts/sim-browser.mjs: "Handheld: a refused end time before the start is explained, not \"Dữ liệu nhập không hợp lệ\"".</t>
  </si>
  <si>
    <r>
      <rPr>
        <sz val="10"/>
        <rFont val="Arial"/>
        <family val="0"/>
        <charset val="1"/>
      </rPr>
      <t xml:space="preserve">Ô giờ/ngày gốc của trình duyệt có hiển thị theo ngôn ngữ máy (12h, </t>
    </r>
    <r>
      <rPr>
        <sz val="10"/>
        <rFont val="Noto Sans CJK SC"/>
        <family val="2"/>
      </rPr>
      <t xml:space="preserve">上午</t>
    </r>
    <r>
      <rPr>
        <sz val="10"/>
        <rFont val="Arial"/>
        <family val="0"/>
        <charset val="1"/>
      </rPr>
      <t xml:space="preserve">/</t>
    </r>
    <r>
      <rPr>
        <sz val="10"/>
        <rFont val="Noto Sans CJK SC"/>
        <family val="2"/>
      </rPr>
      <t xml:space="preserve">下午</t>
    </r>
    <r>
      <rPr>
        <sz val="10"/>
        <rFont val="Arial"/>
        <family val="0"/>
        <charset val="1"/>
      </rPr>
      <t xml:space="preserve">) không, và người dùng có thể chọn nhầm không? Mỗi lỗi nhập trả về có nói đúng ô nào sai không?</t>
    </r>
  </si>
  <si>
    <t xml:space="preserve">a7f7a8f</t>
  </si>
  <si>
    <t xml:space="preserve">PT-48</t>
  </si>
  <si>
    <t xml:space="preserve">Đơn hàng / Thông báo</t>
  </si>
  <si>
    <t xml:space="preserve">public/staff/staff.js (announce*, watchOrders, announceCard); android MainActivity.java (speak, chime, keepScreenOn); AndroidManifest.xml (TTS_SERVICE)</t>
  </si>
  <si>
    <t xml:space="preserve">Máy SUNMI ghép loa Bluetooth, app mở liên tục; Phát Tài không có máy quầy</t>
  </si>
  <si>
    <t xml:space="preserve">Thiếu chức năng / vận hành</t>
  </si>
  <si>
    <t xml:space="preserve">Yêu cầu của khách hàng qua chủ tiệm: Khách đặt đơn QR nhưng không có âm thanh báo, nhân viên phải nhìn màn hình mới biết; khách hàng yêu cầu phát loa mỗi khi có đơn. Loa của máy SUNMI rè, không dùng được; quán không có máy quầy; cần đọc bằng tiếng Trung.</t>
  </si>
  <si>
    <t xml:space="preserve">Hệ thống chỉ đẩy đơn mới lên màn hình (realtime + đồng bộ), không có khâu phát âm thanh. Đồng bộ đơn chỉ chạy ở một số màn hình, và khi màn hình tắt thì WebView dừng, nên không thể đọc đơn nếu máy không mở.</t>
  </si>
  <si>
    <r>
      <rPr>
        <sz val="10"/>
        <rFont val="Arial"/>
        <family val="0"/>
        <charset val="1"/>
      </rPr>
      <t xml:space="preserve">Module loa: máy có đơn QR mới phát chuông rồi đọc "5</t>
    </r>
    <r>
      <rPr>
        <sz val="10"/>
        <rFont val="Noto Sans CJK SC"/>
        <family val="2"/>
      </rPr>
      <t xml:space="preserve">号桌，有新订单</t>
    </r>
    <r>
      <rPr>
        <sz val="10"/>
        <rFont val="Arial"/>
        <family val="0"/>
        <charset val="1"/>
      </rPr>
      <t xml:space="preserve">" (</t>
    </r>
    <r>
      <rPr>
        <sz val="10"/>
        <rFont val="Noto Sans CJK SC"/>
        <family val="2"/>
      </rPr>
      <t xml:space="preserve">外带 </t>
    </r>
    <r>
      <rPr>
        <sz val="10"/>
        <rFont val="Arial"/>
        <family val="0"/>
        <charset val="1"/>
      </rPr>
      <t xml:space="preserve">với đơn mang về) bằng giọng tiếng Trung của Android (APK) hoặc của trình duyệt, kèm bảng thông báo; tài khoản bếp nghe mọi đơn mới. Bật/tắt riêng từng máy trong Cài đặt, mặc định tắt; khi bật, APK giữ màn hình luôn sáng. Bộ theo dõi đơn nhẹ chạy ở mọi màn hình; lúc bật loa lấy đơn hiện có làm mốc để không đọc muộn đơn đặt khi đang tắt. Cách dùng: ghép loa Bluetooth với một máy SUNMI, mở app, cắm sạc, bật loa trong Cài đặt.</t>
    </r>
  </si>
  <si>
    <t xml:space="preserve">tests/phattai-v184-announce.test.mjs: "PT-48 what was there when the device opened is not read out…", "PT-48 the kitchen account hears every new order…", "PT-48 off by default, turned on per device…"; scripts/sim-browser.mjs: "Handheld: the speaker is off by default; turned on, the screen stays awake and a customer QR order is read out…", "Handheld: an order the staff enter themselves is not read out", "Handheld: still read out on the order list…", "Handheld: the test button speaks…", "Browser: with no Chinese voice a turned-on page still chimes…".</t>
  </si>
  <si>
    <t xml:space="preserve">Thông báo cần chạy khi người dùng đang ở màn hình nào, và khi màn hình/app tắt thì sao? Bật lại sau khi tắt có đọc lại việc cũ không? Máy thật có giọng đọc của ngôn ngữ cần không (Android 11+ phải khai báo TTS_SERVICE)?</t>
  </si>
  <si>
    <t xml:space="preserve">9faa2bf, f093645 (gỡ khỏi main ngày 06/10 bằng 026853f; đưa lại production 14/10 theo yêu cầu chủ tiệm sau 69 case kiểm chéo)</t>
  </si>
  <si>
    <t xml:space="preserve">PT-49</t>
  </si>
  <si>
    <t xml:space="preserve">2026-10-14</t>
  </si>
  <si>
    <t xml:space="preserve">public/staff/staff.js (say, speakerOut, pollService, scheduler/realtime); android MainActivity.java (audioOutput); scripts/sim-announce.mjs</t>
  </si>
  <si>
    <t xml:space="preserve">Máy SUNMI ghép loa Bluetooth và trình duyệt (thử trước khi giao quán)</t>
  </si>
  <si>
    <t xml:space="preserve">Thông báo / đồng bộ</t>
  </si>
  <si>
    <t xml:space="preserve">Bộ kiểm chéo 69 case của module loa (PT-48) tìm ra: (1) chỉ đọc yêu cầu gọi nhân viên đầu tiên trong danh sách, yêu cầu mới bị bỏ qua nếu có yêu cầu cũ còn treo; (2) có mạng lại hoặc server hết lỗi thì đơn mới vẫn bị báo trễ 1–2 phút; (3) máy chưa nối loa vẫn phát bằng loa máy (rè); (4) tab trình duyệt bị ẩn thì không báo.</t>
  </si>
  <si>
    <t xml:space="preserve">(1) pollService chỉ xét requests[0]; (2) lịch chạy giữ thời gian chờ lùi của các lần lỗi trước và realtime nối lại theo backoff, cả khi mạng/server đã ổn; (3) không có cách biết máy đang có loa ngoài; (4) tab ẩn đóng realtime và tắt mọi tác vụ.</t>
  </si>
  <si>
    <t xml:space="preserve">(1) Đọc mọi yêu cầu chưa đọc (serviceSeen). (2) Sự kiện online xóa backoff và nối realtime ngay; tin realtime xóa backoff của bộ theo dõi đơn. (3) APK báo audioOutput (Bluetooth/có dây/USB); không có loa ngoài thì chỉ hiện chữ "chưa kết nối loa", Cài đặt hiện trạng thái loa. (4) Khi loa bật, tab ẩn vẫn giữ realtime và bộ theo dõi; tắt thì đóng như cũ.</t>
  </si>
  <si>
    <t xml:space="preserve">scripts/sim-announce.mjs (npm run test:announce, job CI speaker): 69 case A1–I1, gồm B16 gọi nhân viên, C1–C6 loa ngắt/nối lại, F1–F3 mạng/server, G3–G4 tab ẩn; tests/phattai-v184-announce.test.mjs: "PT-49 plays only through a connected speaker; every service call; no stale backoff…".</t>
  </si>
  <si>
    <t xml:space="preserve">Thông báo có xét hết danh sách hay chỉ phần tử đầu? Sau lỗi mạng/server, thời gian chờ lùi có làm trễ việc khẩn không? Âm thanh có phát ra đúng thiết bị người dùng muốn không?</t>
  </si>
  <si>
    <t xml:space="preserve">f093645</t>
  </si>
  <si>
    <t xml:space="preserve">SAAS-01</t>
  </si>
  <si>
    <t xml:space="preserve">2026-10-03</t>
  </si>
  <si>
    <t xml:space="preserve">Echo</t>
  </si>
  <si>
    <t xml:space="preserve">Web QR / Catalog</t>
  </si>
  <si>
    <t xml:space="preserve">public/catalog.json (pos-unified)</t>
  </si>
  <si>
    <t xml:space="preserve">Khi D1 chưa sẵn sàng</t>
  </si>
  <si>
    <t xml:space="preserve">Fork theo khách</t>
  </si>
  <si>
    <t xml:space="preserve">Bản Echo có menu dự phòng mang tên "TIỆM SÍU LẬP PHÁT TÀI" và 13 món của Phát Tài.</t>
  </si>
  <si>
    <t xml:space="preserve">Echo được copy từ Phát Tài; dữ liệu quán nằm trong file tĩnh và migration nên đi theo bản copy.</t>
  </si>
  <si>
    <t xml:space="preserve">SaaS: catalog.json trung tính, không món; dữ liệu Phát Tài chỉ còn trong tests/fixtures.</t>
  </si>
  <si>
    <t xml:space="preserve">tests/phattai-qr-zh.test.mjs đọc fixture, không đọc public.</t>
  </si>
  <si>
    <t xml:space="preserve">Không đặt dữ liệu của một khách vào file tĩnh/migration dùng chung.</t>
  </si>
  <si>
    <t xml:space="preserve">32ff24d (lotus-pos-saas)</t>
  </si>
  <si>
    <t xml:space="preserve">SAAS-02</t>
  </si>
  <si>
    <t xml:space="preserve">SaaS</t>
  </si>
  <si>
    <t xml:space="preserve">Kiến trúc / Migration</t>
  </si>
  <si>
    <t xml:space="preserve">migrations/ của hai bản fork</t>
  </si>
  <si>
    <t xml:space="preserve">Gộp code</t>
  </si>
  <si>
    <t xml:space="preserve">Echo và Phát Tài đều có migration 0015 nhưng nội dung khác (0015_qr_table_visits vs 0015_order_first_pay_later).</t>
  </si>
  <si>
    <t xml:space="preserve">Hai nhánh đánh số migration độc lập sau khi tách.</t>
  </si>
  <si>
    <t xml:space="preserve">Gộp schema thành 0001_core_schema.sql cho mọi quán mới; đối chiếu schema+data khớp 100% với chuỗi cũ.</t>
  </si>
  <si>
    <t xml:space="preserve">Script đối chiếu (một lần) + bộ test hồi quy.</t>
  </si>
  <si>
    <t xml:space="preserve">Một repo, một chuỗi migration.</t>
  </si>
  <si>
    <t xml:space="preserve">SAAS-03</t>
  </si>
  <si>
    <t xml:space="preserve">Kiến trúc / Nghiệp vụ</t>
  </si>
  <si>
    <t xml:space="preserve">Trigger pos_kitchen_after_payment / pos_create_* </t>
  </si>
  <si>
    <t xml:space="preserve">Quán khác loại</t>
  </si>
  <si>
    <t xml:space="preserve">Không thể cho quán cafe (trả trước rồi in bếp) và quán ăn (in bếp ngay, trả sau) dùng chung code.</t>
  </si>
  <si>
    <t xml:space="preserve">Luồng nghiệp vụ cài bằng SQL TRIGGER trong migration; đổi luồng = đổi schema.</t>
  </si>
  <si>
    <t xml:space="preserve">Cột service_mode trong pos_store_config (migrations/0002_service_mode.sql); trigger ORDER_FIRST có điều kiện WHEN theo service_mode; trigger PAY_FIRST pos_kitchen_after_payment in một phiếu khi đơn PAID toàn bộ, bỏ qua nếu đơn đã có phiếu không VOID. Chủ tiệm đổi trong Quản trị chủ tiệm.</t>
  </si>
  <si>
    <t xml:space="preserve">tests/service-mode.test.mjs</t>
  </si>
  <si>
    <t xml:space="preserve">Hành vi khác nhau theo khách phải là cấu hình dữ liệu, không phải schema/code.</t>
  </si>
  <si>
    <t xml:space="preserve">d7414f1 (lotus-pos-saas, P5)</t>
  </si>
  <si>
    <t xml:space="preserve">SAAS-04</t>
  </si>
  <si>
    <t xml:space="preserve">src/ops.js loginActor</t>
  </si>
  <si>
    <t xml:space="preserve">Nhiều quán chung Worker</t>
  </si>
  <si>
    <t xml:space="preserve">Cách ly quán</t>
  </si>
  <si>
    <t xml:space="preserve">Mật khẩu chủ quán chung một biến POS_STAFF_PASSWORD, tên đăng nhập cứng "huang".</t>
  </si>
  <si>
    <t xml:space="preserve">Code viết cho một quán: owner xác thực bằng secret môi trường toàn cục.</t>
  </si>
  <si>
    <t xml:space="preserve">OWNER_PASSWORD_&lt;MÃ&gt; theo quán; OWNER_USERNAME cấu hình trong SHOPS.</t>
  </si>
  <si>
    <t xml:space="preserve">tests/multi-shop.test.mjs "owner login belongs to one shop".</t>
  </si>
  <si>
    <t xml:space="preserve">Mọi secret toàn cục có cho phép đi xuyên quán không?</t>
  </si>
  <si>
    <t xml:space="preserve">fbb552d (lotus-pos-saas)</t>
  </si>
  <si>
    <t xml:space="preserve">SAAS-05</t>
  </si>
  <si>
    <t xml:space="preserve">Worker / Token</t>
  </si>
  <si>
    <t xml:space="preserve">sign(SESSION_SECRET, …) cookie hội viên, token đơn</t>
  </si>
  <si>
    <t xml:space="preserve">Token ký ở quán A có thể verify ở quán B nếu dùng chung SESSION_SECRET.</t>
  </si>
  <si>
    <t xml:space="preserve">Chữ ký HMAC không chứa định danh quán.</t>
  </si>
  <si>
    <t xml:space="preserve">SESSION_SECRET của quán = HMAC(secret chung, mã quán) trong src/tenant.js.</t>
  </si>
  <si>
    <t xml:space="preserve">Test cookie giả mạo đổi tên sang quán khác bị từ chối.</t>
  </si>
  <si>
    <t xml:space="preserve">Token stateless phải gắn phạm vi (tenant) vào khóa hoặc payload.</t>
  </si>
  <si>
    <t xml:space="preserve">SAAS-06</t>
  </si>
  <si>
    <t xml:space="preserve">Worker / Cookie</t>
  </si>
  <si>
    <t xml:space="preserve">__Host-lotus_qr_member</t>
  </si>
  <si>
    <t xml:space="preserve">Khách vào 2 quán cùng domain</t>
  </si>
  <si>
    <t xml:space="preserve">Đăng nhập hội viên ở quán B ghi đè phiên hội viên quán A.</t>
  </si>
  <si>
    <t xml:space="preserve">Một tên cookie cho mọi quán trên cùng host (__Host- bắt buộc Path=/).</t>
  </si>
  <si>
    <t xml:space="preserve">Router đổi tên cookie thành __Host-lotus_qr_member_&lt;mã&gt; lúc vào/ra; code một quán không đổi.</t>
  </si>
  <si>
    <t xml:space="preserve">tests/multi-shop.test.mjs member cookie.</t>
  </si>
  <si>
    <t xml:space="preserve">Cookie/localStorage dùng chung host giữa các tenant.</t>
  </si>
  <si>
    <t xml:space="preserve">SAAS-07</t>
  </si>
  <si>
    <t xml:space="preserve">idFromName('store')</t>
  </si>
  <si>
    <t xml:space="preserve">Mọi quán dùng chung một Durable Object realtime → nhận sự kiện của nhau.</t>
  </si>
  <si>
    <t xml:space="preserve">Tên DO cố định "store".</t>
  </si>
  <si>
    <t xml:space="preserve">Namespace bọc idFromName với tiền tố shop:&lt;mã&gt;:.</t>
  </si>
  <si>
    <t xml:space="preserve">tests/multi-shop.test.mjs realtime names.</t>
  </si>
  <si>
    <t xml:space="preserve">Tên tài nguyên toàn cục (DO, KV key, cache key) phải có tenant.</t>
  </si>
  <si>
    <t xml:space="preserve">SAAS-08</t>
  </si>
  <si>
    <t xml:space="preserve">Worker / License</t>
  </si>
  <si>
    <t xml:space="preserve">src/license.js currentRow()</t>
  </si>
  <si>
    <t xml:space="preserve">Quán chỉ có key chưa kích hoạt</t>
  </si>
  <si>
    <t xml:space="preserve">Quán chỉ có license PENDING lại báo "chưa có license" (NONE).</t>
  </si>
  <si>
    <t xml:space="preserve">return a.first() || b.first(): a.first() là Promise luôn truthy nên nhánh fallback không bao giờ chạy; Promise resolve null → NONE.</t>
  </si>
  <si>
    <t xml:space="preserve">await từng truy vấn: return await a.first() || await b.first().</t>
  </si>
  <si>
    <t xml:space="preserve">tests/license.test.mjs PENDING.</t>
  </si>
  <si>
    <t xml:space="preserve">Không dùng || / ?? giữa hai Promise; await trước khi so sánh.</t>
  </si>
  <si>
    <t xml:space="preserve">317e13e (lotus-pos-saas)</t>
  </si>
  <si>
    <t xml:space="preserve">SAAS-09</t>
  </si>
  <si>
    <t xml:space="preserve">Dev local / D1</t>
  </si>
  <si>
    <t xml:space="preserve">wrangler.jsonc database_id</t>
  </si>
  <si>
    <t xml:space="preserve">wrangler dev --local</t>
  </si>
  <si>
    <t xml:space="preserve">Cấu hình</t>
  </si>
  <si>
    <t xml:space="preserve">Áp migration cho quán thứ 2 báo "No migrations to apply"; hai quán thấy dữ liệu của nhau khi chạy local.</t>
  </si>
  <si>
    <t xml:space="preserve">Hai D1 dùng cùng database_id giả (0000…) → Miniflare map cùng một file SQLite local.</t>
  </si>
  <si>
    <t xml:space="preserve">id giả khác nhau (…0001/2/3); deploy-remote từ chối chạy khi còn id giả.</t>
  </si>
  <si>
    <t xml:space="preserve">Kiểm tra trong deploy-remote.mjs.</t>
  </si>
  <si>
    <t xml:space="preserve">Placeholder phải duy nhất; script deploy chặn placeholder.</t>
  </si>
  <si>
    <t xml:space="preserve">SAAS-10</t>
  </si>
  <si>
    <t xml:space="preserve">Web / License</t>
  </si>
  <si>
    <t xml:space="preserve">public/staff/license.js</t>
  </si>
  <si>
    <t xml:space="preserve">iOS 15</t>
  </si>
  <si>
    <t xml:space="preserve">Lớp phủ license có thể vỡ trên iOS cũ.</t>
  </si>
  <si>
    <t xml:space="preserve">Dùng inline style inset:0 (lặp lại PT-05).</t>
  </si>
  <si>
    <t xml:space="preserve">top:0;right:0;bottom:0;left:0.</t>
  </si>
  <si>
    <t xml:space="preserve">tests/platform-guards.test.mjs.</t>
  </si>
  <si>
    <t xml:space="preserve">Code mới phải qua cùng checklist engine cũ.</t>
  </si>
  <si>
    <t xml:space="preserve">62725f1 (lotus-pos-saas)</t>
  </si>
  <si>
    <t xml:space="preserve">SAAS-11</t>
  </si>
  <si>
    <t xml:space="preserve">public/staff/license.js render()</t>
  </si>
  <si>
    <t xml:space="preserve">Đang gõ key trên màn khóa, 10 phút sau (hoặc khi có 402) ô nhập bị xóa.</t>
  </si>
  <si>
    <t xml:space="preserve">Mỗi lần kiểm tra license dựng lại innerHTML lớp phủ (lặp lại PT-01).</t>
  </si>
  <si>
    <t xml:space="preserve">Chỉ dựng lại khi chữ ký trạng thái (state, ngày còn lại, lý do khóa, đã xem popup) thay đổi.</t>
  </si>
  <si>
    <t xml:space="preserve">Smoke trình duyệt; guard trong code.</t>
  </si>
  <si>
    <t xml:space="preserve">Định kỳ/nền không được dựng lại form đang nhập.</t>
  </si>
  <si>
    <t xml:space="preserve">SAAS-12</t>
  </si>
  <si>
    <t xml:space="preserve">Web QR / Thương hiệu</t>
  </si>
  <si>
    <t xml:space="preserve">public/assets/app.js mark, app.css .hero:after</t>
  </si>
  <si>
    <t xml:space="preserve">Quán mới</t>
  </si>
  <si>
    <r>
      <rPr>
        <sz val="10"/>
        <rFont val="Arial"/>
        <family val="0"/>
        <charset val="1"/>
      </rPr>
      <t xml:space="preserve">Trang QR quán mới hiện chữ "</t>
    </r>
    <r>
      <rPr>
        <sz val="10"/>
        <rFont val="Noto Sans CJK SC"/>
        <family val="2"/>
      </rPr>
      <t xml:space="preserve">發</t>
    </r>
    <r>
      <rPr>
        <sz val="10"/>
        <rFont val="Arial"/>
        <family val="0"/>
        <charset val="1"/>
      </rPr>
      <t xml:space="preserve">" của Phát Tài.</t>
    </r>
  </si>
  <si>
    <t xml:space="preserve">Ký tự thương hiệu viết cứng trong JS/CSS.</t>
  </si>
  <si>
    <t xml:space="preserve">Chữ cái đầu tên quán; bỏ watermark.</t>
  </si>
  <si>
    <t xml:space="preserve">Smoke trình duyệt.</t>
  </si>
  <si>
    <t xml:space="preserve">grep tên/biểu tượng khách cũ sau khi gộp.</t>
  </si>
  <si>
    <t xml:space="preserve">SAAS-13</t>
  </si>
  <si>
    <t xml:space="preserve">Test / Harness</t>
  </si>
  <si>
    <t xml:space="preserve">public/staff/staff.js chạy trong node:vm</t>
  </si>
  <si>
    <t xml:space="preserve">npm test</t>
  </si>
  <si>
    <t xml:space="preserve">Test</t>
  </si>
  <si>
    <t xml:space="preserve">3 test hồi quy fail sau khi thêm window.LotusShop vào staff.js.</t>
  </si>
  <si>
    <t xml:space="preserve">Harness chạy đoạn staff.js trong vm context không có window → ReferenceError.</t>
  </si>
  <si>
    <t xml:space="preserve">Dùng globalThis.LotusShop (có trong cả trình duyệt và vm).</t>
  </si>
  <si>
    <t xml:space="preserve">Bộ phattai-v162.</t>
  </si>
  <si>
    <t xml:space="preserve">Code client chạy được trong vm test: tránh window.*, dùng globalThis.</t>
  </si>
  <si>
    <t xml:space="preserve">f112cda (lotus-pos-saas)</t>
  </si>
  <si>
    <t xml:space="preserve">SAAS-14</t>
  </si>
  <si>
    <t xml:space="preserve">wrangler.jsonc assets.run_worker_first</t>
  </si>
  <si>
    <t xml:space="preserve">Mọi file tĩnh (HTML/JS/CSS/ảnh) đều tính vào 100.000 request/ngày; polling 10 s của Echo × 4 máy × 4 quán ≈ 80.000 request/ngày.</t>
  </si>
  <si>
    <t xml:space="preserve">run_worker_first: true khiến Worker chạy cho cả asset; Echo dùng polling thay realtime.</t>
  </si>
  <si>
    <t xml:space="preserve">run_worker_first: ["/api/*", "/app", "/app/", "/releases/*"]; header bảo mật chuyển sang public/_headers; dùng realtime DO thay polling.</t>
  </si>
  <si>
    <t xml:space="preserve">Smoke: header CSP có trên /admin/ khi Worker không chạy.</t>
  </si>
  <si>
    <t xml:space="preserve">Mỗi tính năng mới: ước tính request/ngày và CPU/request.</t>
  </si>
  <si>
    <t xml:space="preserve">a1960c7 (lotus-pos-saas)</t>
  </si>
  <si>
    <t xml:space="preserve">SAAS-15</t>
  </si>
  <si>
    <t xml:space="preserve">pos-unified src/worker.js ITERATIONS=120000</t>
  </si>
  <si>
    <t xml:space="preserve">Gói Free</t>
  </si>
  <si>
    <t xml:space="preserve">Echo sẽ lặp lại PT-13 khi chạy trên gói Free.</t>
  </si>
  <si>
    <t xml:space="preserve">Bản Echo vẫn dùng PBKDF2 120k vòng.</t>
  </si>
  <si>
    <t xml:space="preserve">SaaS dùng password.js keyed HMAC của Phát Tài; bỏ nền pos-unified.</t>
  </si>
  <si>
    <t xml:space="preserve">Sửa lỗi ở một bản fork không tự sang bản kia → một repo duy nhất.</t>
  </si>
  <si>
    <t xml:space="preserve">0fbc682 (lotus-pos-saas)</t>
  </si>
  <si>
    <t xml:space="preserve">SAAS-16</t>
  </si>
  <si>
    <t xml:space="preserve">Client đọc rồi ghi lại cấu hình</t>
  </si>
  <si>
    <t xml:space="preserve">Gửi lại nguyên dữ liệu GET /api/staff/store vào PUT bị 400 INVALID_STORE.</t>
  </si>
  <si>
    <t xml:space="preserve">GET trả name/nameCn (publicStore) nhưng PUT đọc storeName/storeNameCn; hai chiều dùng tên trường khác nhau. UI hiện tại tự ánh xạ nên chưa lộ, client mới (app Android, admin) sẽ dính.</t>
  </si>
  <si>
    <t xml:space="preserve">GET /api/staff/store trả thêm storeName/storeNameCn; PUT nhận storeName hoặc name (storeNameCn hoặc nameCn), nên dữ liệu GET gửi thẳng lại PUT được.</t>
  </si>
  <si>
    <t xml:space="preserve">tests/service-mode.test.mjs: PUT bằng nguyên object GET + serviceMode.</t>
  </si>
  <si>
    <t xml:space="preserve">Endpoint đọc/ghi cùng tài nguyên phải dùng cùng tên trường; test round-trip GET→PUT.</t>
  </si>
  <si>
    <t xml:space="preserve">9d4b2ae (lotus-pos-saas, C18; ghi nhận ở d7414f1)</t>
  </si>
  <si>
    <t xml:space="preserve">SAAS-17</t>
  </si>
  <si>
    <t xml:space="preserve">scripts/e2e-staff.mjs; .github/workflows/ci.yml</t>
  </si>
  <si>
    <t xml:space="preserve">GitHub Actions (job e2e)</t>
  </si>
  <si>
    <t xml:space="preserve">4 lần push liên tiếp (317e13e → d7414f1) đều đỏ ở job e2e; deploy bị bỏ qua. Không ai biết cho tới khi GitHub gửi email.</t>
  </si>
  <si>
    <t xml:space="preserve">E2E còn viết cho Worker một quán: wrangler d1 migrations apply DB, mật khẩu POS_STAFF_PASSWORD, /api/health có acceptingOrders, user huang. wrangler.jsonc mới chỉ có CONTROL/DB_ECHO/DB_DEMO nên lỗi "Couldn't find a D1 DB with the name or binding DB". Trước khi push chỉ chạy npm test (không gồm e2e) và không kiểm tra trạng thái CI sau khi push.</t>
  </si>
  <si>
    <t xml:space="preserve">E2E chạy trên Worker nhiều quán: migrate CONTROL + DB_ECHO, nạp tests/fixtures/phattai-shop.sql, OWNER_PASSWORD_ECHO + ADMIN_TOKEN, cấp license qua /api/admin, đăng nhập owner, mở /staff/?s=echo và /qr/?s=echo. Chạy local 36/36 PASS.</t>
  </si>
  <si>
    <t xml:space="preserve">scripts/e2e-staff.mjs (job e2e trong CI).</t>
  </si>
  <si>
    <t xml:space="preserve">Đổi wrangler.jsonc/routing/đăng nhập thì chạy npm run test:e2e local trước khi push. Sau mỗi push kiểm tra CI (gh api repos/LGL-AI/lotus-pos-saas/actions/runs) tới khi xanh; đỏ là việc phải sửa ngay, không chuyển sang việc khác.</t>
  </si>
  <si>
    <t xml:space="preserve">7ccfa44 (lotus-pos-saas)</t>
  </si>
  <si>
    <t xml:space="preserve">SAAS-18</t>
  </si>
  <si>
    <t xml:space="preserve">Android / Cầu native</t>
  </si>
  <si>
    <t xml:space="preserve">android/.../MainActivity.java cloudApi()</t>
  </si>
  <si>
    <t xml:space="preserve">APK trên SUNMI (WebView gọi qua cầu native)</t>
  </si>
  <si>
    <t xml:space="preserve">APK từ chối mọi lời gọi /api/s/&lt;mã&gt;/... ("Yêu cầu không hợp lệ") và không ghi nhận đăng nhập, nên máy cầm tay không dùng được với Worker nhiều quán.</t>
  </si>
  <si>
    <t xml:space="preserve">Bộ lọc đường dẫn của cloudApi chỉ chấp nhận /api/(staff/...|catalog(/meta)?) và so khớp path.equals("/api/staff/login"); staff.js giờ gửi đường dẫn có tiền tố quán.</t>
  </si>
  <si>
    <t xml:space="preserve">cloudApi nhận requestPath, bỏ tiền tố /api/s/&lt;mã&gt;/ hợp lệ để kiểm tra như route cũ, gửi nguyên requestPath tới Worker. Mock trong E2E làm y hệt.</t>
  </si>
  <si>
    <t xml:space="preserve">tests/phattai-v170-native-transport.test.mjs (multi-shop paths); E2E handheld qua mock cầu native.</t>
  </si>
  <si>
    <t xml:space="preserve">Mọi chỗ native/proxy so khớp đường dẫn API phải đi cùng thay đổi routing của Worker.</t>
  </si>
  <si>
    <t xml:space="preserve">SAAS-19</t>
  </si>
  <si>
    <t xml:space="preserve">POS quầy / Dashboard</t>
  </si>
  <si>
    <t xml:space="preserve">public/staff/staff.js loadReportShifts(); src/features.js RULES</t>
  </si>
  <si>
    <t xml:space="preserve">Web /counter/ khi quán tắt module Quản lý ca (P6)</t>
  </si>
  <si>
    <t xml:space="preserve">Cờ tính năng</t>
  </si>
  <si>
    <t xml:space="preserve">Tắt module ca: màn Dashboard &amp; Báo cáo gọi /api/staff/schedules và /api/staff/report-shifts, nhận 403 FEATURE_DISABLED, ô chọn ca báo cáo trống/lỗi. Phát hiện bằng smoke click qua mọi màn trước khi commit.</t>
  </si>
  <si>
    <t xml:space="preserve">Ẩn menu theo màn hình nhưng API của module còn được màn khác dùng chung: Dashboard đọc lịch ca để gợi ý ca báo cáo. Ngoài ra report-shifts (mẫu ca báo cáo) bị xếp nhầm vào module ca dù thuộc Dashboard.</t>
  </si>
  <si>
    <t xml:space="preserve">Bỏ report-shifts khỏi luật chặn của module ca; loadReportShifts chỉ gọi schedules khi feat("shifts"), ngược lại dùng danh sách rỗng.</t>
  </si>
  <si>
    <t xml:space="preserve">tests/features.test.mjs (featureFor: report-shifts không thuộc module nào); smoke Playwright bấm qua mọi màn quầy với module tắt, bắt mọi HTTP ≥400.</t>
  </si>
  <si>
    <t xml:space="preserve">Khi chặn một API theo cờ: grep mọi nơi gọi API đó (cả màn khác, polling nền), không chỉ màn có tên module.</t>
  </si>
  <si>
    <t xml:space="preserve">aac5b9e (lotus-pos-saas, P6)</t>
  </si>
  <si>
    <t xml:space="preserve">SAAS-20</t>
  </si>
  <si>
    <t xml:space="preserve">Worker / Đơn hàng</t>
  </si>
  <si>
    <t xml:space="preserve">src/worker.js calculate(); public/assets/app.js biên lai ảnh QR</t>
  </si>
  <si>
    <t xml:space="preserve">POS quầy, phiếu bếp, biên lai của quán đồ uống (Echo)</t>
  </si>
  <si>
    <t xml:space="preserve">Giả định của quán cũ</t>
  </si>
  <si>
    <r>
      <rPr>
        <sz val="10"/>
        <rFont val="Arial"/>
        <family val="0"/>
        <charset val="1"/>
      </rPr>
      <t xml:space="preserve">Ly cà phê hiện "Tô thường / </t>
    </r>
    <r>
      <rPr>
        <sz val="10"/>
        <rFont val="Noto Sans CJK SC"/>
        <family val="2"/>
      </rPr>
      <t xml:space="preserve">中碗 </t>
    </r>
    <r>
      <rPr>
        <sz val="10"/>
        <rFont val="Arial"/>
        <family val="0"/>
        <charset val="1"/>
      </rPr>
      <t xml:space="preserve">· Cay vừa / </t>
    </r>
    <r>
      <rPr>
        <sz val="10"/>
        <rFont val="Noto Sans CJK SC"/>
        <family val="2"/>
      </rPr>
      <t xml:space="preserve">中辣</t>
    </r>
    <r>
      <rPr>
        <sz val="10"/>
        <rFont val="Arial"/>
        <family val="0"/>
        <charset val="1"/>
      </rPr>
      <t xml:space="preserve">" trong giỏ, chi tiết đơn, biên lai ảnh QR.</t>
    </r>
  </si>
  <si>
    <r>
      <rPr>
        <sz val="10"/>
        <rFont val="Arial"/>
        <family val="0"/>
        <charset val="1"/>
      </rPr>
      <t xml:space="preserve">Code nền của quán cơm luôn gán size='</t>
    </r>
    <r>
      <rPr>
        <sz val="10"/>
        <rFont val="Noto Sans CJK SC"/>
        <family val="2"/>
      </rPr>
      <t xml:space="preserve">中</t>
    </r>
    <r>
      <rPr>
        <sz val="10"/>
        <rFont val="Arial"/>
        <family val="0"/>
        <charset val="1"/>
      </rPr>
      <t xml:space="preserve">', spice='</t>
    </r>
    <r>
      <rPr>
        <sz val="10"/>
        <rFont val="Noto Sans CJK SC"/>
        <family val="2"/>
      </rPr>
      <t xml:space="preserve">中</t>
    </r>
    <r>
      <rPr>
        <sz val="10"/>
        <rFont val="Arial"/>
        <family val="0"/>
        <charset val="1"/>
      </rPr>
      <t xml:space="preserve">' mặc định và lưu vào mods của mọi món, kể cả món không có tùy chọn size/cay (pos_products.size=0, spicy=0).</t>
    </r>
  </si>
  <si>
    <r>
      <rPr>
        <sz val="10"/>
        <rFont val="Arial"/>
        <family val="0"/>
        <charset val="1"/>
      </rPr>
      <t xml:space="preserve">Vẫn kiểm hợp lệ với mặc định '</t>
    </r>
    <r>
      <rPr>
        <sz val="10"/>
        <rFont val="Noto Sans CJK SC"/>
        <family val="2"/>
      </rPr>
      <t xml:space="preserve">中</t>
    </r>
    <r>
      <rPr>
        <sz val="10"/>
        <rFont val="Arial"/>
        <family val="0"/>
        <charset val="1"/>
      </rPr>
      <t xml:space="preserve">' nhưng chỉ lưu size/spice khi sản phẩm có tùy chọn đó; biên lai ảnh QR chỉ in dòng size/cay khi có.</t>
    </r>
  </si>
  <si>
    <t xml:space="preserve">tests/drink-menu.test.mjs: đồ uống không có mods.size/spice, món tô giữ size/spice.</t>
  </si>
  <si>
    <t xml:space="preserve">Rà mọi giá trị mặc định kế thừa từ quán đầu tiên: nó có đúng với ngành khác (cà phê, bán lẻ) không?</t>
  </si>
  <si>
    <t xml:space="preserve">9d4b2ae (lotus-pos-saas, C18)</t>
  </si>
  <si>
    <t xml:space="preserve">SAAS-21</t>
  </si>
  <si>
    <t xml:space="preserve">Worker / In bếp</t>
  </si>
  <si>
    <t xml:space="preserve">src/staff.js GET /api/staff/paid-labels, POST /api/staff/jobs/:id/claim và /status; public/staff/staff.js vòng auto print</t>
  </si>
  <si>
    <t xml:space="preserve">Quán PAY_FIRST, máy quầy/APK tự in phiếu bếp</t>
  </si>
  <si>
    <t xml:space="preserve">Luồng nghiệp vụ</t>
  </si>
  <si>
    <t xml:space="preserve">Quán thu tiền trước: thanh toán xong, màn báo "máy in bếp sẽ in" nhưng phiếu bếp không bao giờ in.</t>
  </si>
  <si>
    <t xml:space="preserve">Trigger pos_kitchen_after_payment tạo phiếu đúng lúc đơn thành PAID, nhưng cả 3 chỗ của đường in đều chỉ nhận đơn UNPAID (quy tắc ORDER_FIRST): hàng đợi WHERE payment_status='UNPAID', client bỏ qua đơn PAID, và claim/status yêu cầu EXISTS đơn UNPAID — nên dù lọt hàng đợi, máy in vẫn bị 409 khi claim.</t>
  </si>
  <si>
    <t xml:space="preserve">Một điều kiện dùng chung printable(): đơn UNPAID, hoặc đơn PAID với phiếu NEW tạo lúc/sau paid_at (chỉ PAY_FIRST sinh ra). Áp cho hàng đợi, claim và status; hàng đợi trả cờ afterPayment, client chỉ bỏ qua đơn PAID khi không có cờ.</t>
  </si>
  <si>
    <t xml:space="preserve">tests/service-mode.test.mjs (hàng đợi + claim + status; phiếu ORDER_FIRST của đơn đã trả vẫn bị 409); E2E C18: máy SUNMI cầm tay thực sự claim và gửi phiếu PAY_FIRST tới máy in.</t>
  </si>
  <si>
    <t xml:space="preserve">Thêm luồng nghiệp vụ mới (P5) phải đi hết đường tới giấy in: grep mọi điều kiện cũ (payment_status='UNPAID') trên cả đường hàng đợi → claim → báo trạng thái, và E2E phải kiểm lệnh in thật, không chỉ dòng trong D1.</t>
  </si>
  <si>
    <t xml:space="preserve">9d4b2ae + 005ef19 (lotus-pos-saas, C18/P5)</t>
  </si>
  <si>
    <t xml:space="preserve">SAAS-22</t>
  </si>
  <si>
    <t xml:space="preserve">POS quầy / Bán hàng</t>
  </si>
  <si>
    <t xml:space="preserve">public/staff/staff.js submit</t>
  </si>
  <si>
    <t xml:space="preserve">Quán PAY_FIRST</t>
  </si>
  <si>
    <t xml:space="preserve">Hộp xác nhận chốt đơn ghi "Lưu đơn và gửi phiếu bếp ngay?" dù phiếu bếp chỉ in sau thanh toán.</t>
  </si>
  <si>
    <t xml:space="preserve">Câu xác nhận viết cứng cho ORDER_FIRST khi thêm P5.</t>
  </si>
  <si>
    <t xml:space="preserve">Câu xác nhận theo payFirst(): "Lưu đơn rồi thu tiền (phiếu bếp in sau khi thanh toán)?".</t>
  </si>
  <si>
    <t xml:space="preserve">E2E C18 kiểm câu xác nhận.</t>
  </si>
  <si>
    <t xml:space="preserve">Mọi chữ nói về thời điểm in bếp phải đi theo service_mode.</t>
  </si>
  <si>
    <t xml:space="preserve">SAAS-23</t>
  </si>
  <si>
    <t xml:space="preserve">Tiêu đề quầy hiện "&lt;mã đơn&gt; · &lt;bàn&gt;" khi đang mở một đơn.</t>
  </si>
  <si>
    <t xml:space="preserve">E2E C18 đọc mã đơn trên trang quầy.</t>
  </si>
  <si>
    <t xml:space="preserve">Khi CSS ẩn một phần tử để chuyển chỗ hiển thị, kiểm tra nơi mới có đủ mọi trạng thái của nơi cũ.</t>
  </si>
  <si>
    <t xml:space="preserve">SAAS-24</t>
  </si>
  <si>
    <t xml:space="preserve">POS quầy / Phiếu bếp</t>
  </si>
  <si>
    <t xml:space="preserve">public/staff/staff.js màn kitchen</t>
  </si>
  <si>
    <t xml:space="preserve">Web /counter/, nhất là quán PAY_FIRST</t>
  </si>
  <si>
    <t xml:space="preserve">Màn "Phiếu bếp" liệt kê đơn đang mở (NEW/ACCEPTED/SPLIT) chứ không phải phiếu bếp: quán PAY_FIRST thấy đơn chưa trả (chưa có phiếu) mà không thấy đơn đã trả đang chờ in.</t>
  </si>
  <si>
    <t xml:space="preserve">Màn kế thừa chỉ lọc st.orders theo trạng thái đơn, không đọc pos_kitchen_jobs.</t>
  </si>
  <si>
    <t xml:space="preserve">GET /api/staff/kitchen-jobs: phiếu 24 giờ qua (trừ VOID; đơn hủy chỉ giữ phiếu HỦY) kèm printable (cùng điều kiện với hàng đợi in) và afterPayment. Màn Phiếu bếp chia "Chờ in / cần kiểm tra" và "Đã gửi hoặc không còn chờ in", mỗi phiếu có nút mở đơn; đồng bộ khi revision print/orders đổi.</t>
  </si>
  <si>
    <t xml:space="preserve">tests/kitchen-queue.test.mjs; E2E bước "the counter kitchen screen lists the paid order's slip".</t>
  </si>
  <si>
    <t xml:space="preserve">Màn có tên theo đối tượng (phiếu) phải đọc đúng bảng của đối tượng đó.</t>
  </si>
  <si>
    <t xml:space="preserve">ff1752f (lotus-pos-saas, C7; ghi nhận ở 9d4b2ae)</t>
  </si>
  <si>
    <t xml:space="preserve">SAAS-25</t>
  </si>
  <si>
    <t xml:space="preserve">GitHub Actions job e2e (Google Chrome của runner)</t>
  </si>
  <si>
    <t xml:space="preserve">Run 37113824211 (commit 3562e41) đỏ ở e2e với chỉ một dòng "page.waitForFunction: Timeout 15000ms exceeded"; GitHub gửi email báo CI / Deploy fail.</t>
  </si>
  <si>
    <t xml:space="preserve">Chưa xác định được bước hỏng: lỗi phụ thuộc thời điểm (flaky). Cùng commit chạy lại trên CI thì xanh (attempt 2), chạy local 4 lần bình thường và 4 lần ép 1 lõi CPU đều xanh. Khi đó E2E không ghi dòng lỗi, không chụp màn hình nên không đọc lại được trạng thái trang lúc treo.</t>
  </si>
  <si>
    <t xml:space="preserve">E2E ghi dòng script + bước pass cuối (a65f8d5); khi fail chụp toàn bộ trang đang mở + innerText + 20 KB log Worker vào e2e-failure/, CI tải lên artifact e2e-failure-&lt;run&gt;-&lt;attempt&gt;. Ghim runner ubuntu-24.04 (ubuntu-latest chuyển Ubuntu 26 ngày 19/10/2026) và nâng checkout/setup-node lên v5 (cảnh báo Node 20).</t>
  </si>
  <si>
    <t xml:space="preserve">Job e2e trong CI; lần fail sau phải có artifact để tìm nguyên nhân gốc.</t>
  </si>
  <si>
    <t xml:space="preserve">Fail chỉ xảy ra trên CI: không đóng lỗi bằng cách chạy lại cho xanh — phải có bằng chứng (ảnh, text, log) và tìm bước hỏng. Không thêm retry tự động để che lỗi.</t>
  </si>
  <si>
    <t xml:space="preserve">a65f8d5 + 34b760d (lotus-pos-saas; chưa rõ gốc)</t>
  </si>
  <si>
    <t xml:space="preserve">SAAS-26</t>
  </si>
  <si>
    <t xml:space="preserve">public/staff/staff.js jobCard(); src/staff.js GET /api/staff/orders/:id</t>
  </si>
  <si>
    <t xml:space="preserve">Quán PAY_FIRST, chi tiết đơn đã thanh toán</t>
  </si>
  <si>
    <t xml:space="preserve">Mở đơn đã trả ở quán thu tiền trước: thẻ phiếu bếp ghi "Phiếu bếp này thuộc thời điểm chốt order. Đơn đã thanh toán nên POS không tự gửi/in phiếu bếp lần nữa" và ẩn nút gửi/in lại, dù đây chính là phiếu vừa tạo lúc thanh toán và đang chờ in.</t>
  </si>
  <si>
    <t xml:space="preserve">jobCard coi mọi phiếu của đơn PAID là phiếu cũ (quy tắc ORDER_FIRST: paid = o.paymentStatus==='PAID'). Chi tiết đơn không cho biết phiếu nào là phiếu PAY_FIRST tạo sau paid_at. Cùng gốc với SAAS-21 (điều kiện UNPAID cũ) nhưng ở tầng giao diện.</t>
  </si>
  <si>
    <t xml:space="preserve">Chi tiết đơn trả cờ afterPayment cho từng phiếu (NEW, tạo lúc/sau paid_at của đơn đã trả); jobCard chỉ hiện câu "không in lại" khi paid &amp;&amp; !afterPayment.</t>
  </si>
  <si>
    <t xml:space="preserve">tests/kitchen-queue.test.mjs (detail.jobs[0].afterPayment).</t>
  </si>
  <si>
    <t xml:space="preserve">Sau khi thêm một luồng nghiệp vụ, grep cả câu chữ giao diện dựa trên luật cũ ("đã thanh toán nên…"), không chỉ điều kiện SQL.</t>
  </si>
  <si>
    <t xml:space="preserve">ff1752f (lotus-pos-saas, C7)</t>
  </si>
  <si>
    <t xml:space="preserve">SAAS-27</t>
  </si>
  <si>
    <t xml:space="preserve">POS quầy / Nhóm tùy chọn</t>
  </si>
  <si>
    <t xml:space="preserve">public/staff/staff.js document submit listener (danh sách id form)</t>
  </si>
  <si>
    <t xml:space="preserve">E2E Chromium, màn Sản phẩm của /counter/</t>
  </si>
  <si>
    <t xml:space="preserve">Giao diện / sự kiện</t>
  </si>
  <si>
    <t xml:space="preserve">Bấm "Tạo nhóm" ở form nhóm tùy chọn mới: trang tải lại thành /counter/?name=Lo%E1%BA%A1i+gi%C3%B2&amp;itemTypes=MAIN…, không gọi API, dữ liệu gõ mất.</t>
  </si>
  <si>
    <t xml:space="preserve">Listener submit chỉ chặn hành vi mặc định cho các form có id nằm trong một danh sách viết tay. Form mới group-form/option-form có handler nhưng chưa được thêm vào danh sách nên trình duyệt gửi GET bình thường.</t>
  </si>
  <si>
    <t xml:space="preserve">Thêm group-form, option-form vào danh sách.</t>
  </si>
  <si>
    <t xml:space="preserve">tests/option-groups.test.mjs: mọi fid==='…' có handler phải nằm trong danh sách cho phép; E2E mục 5 tạo nhóm và lựa chọn trên /counter/.</t>
  </si>
  <si>
    <t xml:space="preserve">Thêm form mới vào staff.js: có handler thì phải có trong danh sách submit — test tự kiểm, đừng nhớ tay.</t>
  </si>
  <si>
    <t xml:space="preserve">e520287 (lotus-pos-saas, C2e)</t>
  </si>
  <si>
    <t xml:space="preserve">SAAS-28</t>
  </si>
  <si>
    <t xml:space="preserve">Sản phẩm / Tài khoản &amp; quyền</t>
  </si>
  <si>
    <t xml:space="preserve">public/staff/staff.js submit listener: f.id</t>
  </si>
  <si>
    <t xml:space="preserve">Mọi trình duyệt, form Thêm món và Tạo vai trò</t>
  </si>
  <si>
    <t xml:space="preserve">Tạo món mới (và tạo vai trò mới) trên giao diện không bao giờ lưu: trang tải lại với ?id=…&amp;sku=… trên URL. E2E trước đây không bấm form này nên không lộ.</t>
  </si>
  <si>
    <t xml:space="preserve">Hai form có ô &lt;input name="id"&gt;. Thuộc tính form.id trả về phần tử con tên "id" (named-property shadowing) chứ không phải chuỗi id của form, nên ['product-form',…].includes(f.id) sai, preventDefault không chạy. Lỗi có từ code nền Phát Tài.</t>
  </si>
  <si>
    <t xml:space="preserve">Listener đọc fid=f.getAttribute('id'); mọi so sánh trong listener và listener change/typing dùng getAttribute('id').</t>
  </si>
  <si>
    <t xml:space="preserve">tests/option-groups.test.mjs: listener submit không còn f.id, toàn file không còn form.id; E2E mục 5 tạo món trên /counter/ và kiểm món có trong catalog.</t>
  </si>
  <si>
    <t xml:space="preserve">Không đọc form.id / form.action / form.name khi form có thể có ô cùng tên; luôn getAttribute. Mỗi form tạo dữ liệu phải có ít nhất một bước E2E bấm nút lưu.</t>
  </si>
  <si>
    <t xml:space="preserve">SAAS-29</t>
  </si>
  <si>
    <t xml:space="preserve">Sản phẩm / Voucher / Tài khoản</t>
  </si>
  <si>
    <t xml:space="preserve">public/staff/staff.js thuộc tính pattern của ô Mã món, Mã voucher, Tên đăng nhập</t>
  </si>
  <si>
    <t xml:space="preserve">Chrome mới (pattern biên dịch với cờ v)</t>
  </si>
  <si>
    <t xml:space="preserve">Console: Pattern attribute value [A-Za-z0-9_-]{1,24} is not a valid regular expression … Invalid character in character class. Ô vẫn nhập được ký tự sai, chỉ Worker từ chối.</t>
  </si>
  <si>
    <t xml:space="preserve">Viết \- trong lớp ký tự (hợp lệ ở cả cờ u và v).</t>
  </si>
  <si>
    <t xml:space="preserve">tests/option-groups.test.mjs: mọi pattern="" trong staff.js biên dịch được với cờ v.</t>
  </si>
  <si>
    <t xml:space="preserve">SAAS-30</t>
  </si>
  <si>
    <t xml:space="preserve">POS quầy / máy cầm tay</t>
  </si>
  <si>
    <t xml:space="preserve">public/staff/staff.js render(), liveSync()</t>
  </si>
  <si>
    <t xml:space="preserve">E2E (flaky): bước đăng ký hội viên +84 và form món; người dùng gõ trong lúc dữ liệu màn hình đang tải</t>
  </si>
  <si>
    <t xml:space="preserve">E2E thỉnh thoảng đỏ ở "staff registers a +84 number": ô SĐT trống, không có request đăng ký. Tương tự ô tên nhóm bị xóa ngay sau khi gõ.</t>
  </si>
  <si>
    <t xml:space="preserve">render() dựng lại toàn bộ #app bằng innerHTML. Hai lần render có thể đến sau khi người dùng bắt đầu gõ: (1) refresh() sau khi chuyển màn, (2) liveSync() kiểm "đang gõ trong form" TRƯỚC các await rồi vẫn render sau khi await xong. Ô đang gõ bị dựng lại, mất chữ.</t>
  </si>
  <si>
    <t xml:space="preserve">render() giữ chữ, vị trí con trỏ và focus của ô đang gõ (typingField/keepTyping); submit blur ô trước khi lưu để form được xóa sau khi lưu thành công; liveSync kiểm lại đang-gõ ngay trước render.</t>
  </si>
  <si>
    <t xml:space="preserve">E2E chạy lại 7 lần liên tiếp xanh sau khi sửa (trước đó đỏ 3/5 lần ở hai bước trên).</t>
  </si>
  <si>
    <t xml:space="preserve">Mọi render sau một await phải kiểm lại trạng thái người dùng tại thời điểm render, không dùng biến đã đọc trước await. Nhiều khả năng đây là gốc của SAAS-25 (cùng dạng waitForFunction timeout): theo dõi artifact lần fail sau.</t>
  </si>
  <si>
    <t xml:space="preserve">SAAS-31</t>
  </si>
  <si>
    <t xml:space="preserve">In / Biên lai, Báo cáo</t>
  </si>
  <si>
    <t xml:space="preserve">public/counter/devices.js receipt(); public/staff/staff.js dailyReportText(); android TicketBitmap.java</t>
  </si>
  <si>
    <t xml:space="preserve">Mọi quán khác Phát Tài in qua máy quầy Windows</t>
  </si>
  <si>
    <t xml:space="preserve">Biên lai in ở quầy của mọi quán kết thúc bằng "Cảm ơn quý khách đã ghé TIỆM SÍU LẬP PHÁT TÀI!"; báo cáo in khi chưa tải tên quán ghi "TIỆM SÍU LẬP PHÁT TÀI"; bitmap SUNMI LAN lấy "PHÁT TÀI POS" làm tên dự phòng. Khách Echo sẽ thấy tên quán khác.</t>
  </si>
  <si>
    <t xml:space="preserve">Code nền viết cho một quán: câu cảm ơn và tên dự phòng là chuỗi cố định, không lấy từ cấu hình quán. Trái quy tắc "không đưa dữ liệu quán vào file tĩnh"; lần rà soát catalog.json trước đó không quét chuỗi trong các mẫu in.</t>
  </si>
  <si>
    <t xml:space="preserve">Câu cảm ơn dựng từ tên quán trong D1 (payload thanks), tên dự phòng "Lotus POS".</t>
  </si>
  <si>
    <t xml:space="preserve">tests/receipt.test.mjs: không file nào trong public/, src/ và mẫu in Android chứa "Phát Tài", "Síu Lập" hay "Echo Coffee".</t>
  </si>
  <si>
    <t xml:space="preserve">Khi đưa code của một quán vào sản phẩm chung, grep tên quán, SĐT, địa chỉ trong mọi mẫu in và câu chữ, không chỉ trong dữ liệu.</t>
  </si>
  <si>
    <t xml:space="preserve">3f4e431 (lotus-pos-saas, R1)</t>
  </si>
  <si>
    <t xml:space="preserve">SAAS-32</t>
  </si>
  <si>
    <t xml:space="preserve">public/counter/devices.js; public/staff/staff.js printBrowserReceipt/printReceipt; android MainActivity, TicketBitmap</t>
  </si>
  <si>
    <t xml:space="preserve">Mọi đường in biên lai</t>
  </si>
  <si>
    <r>
      <rPr>
        <sz val="10"/>
        <rFont val="Arial"/>
        <family val="0"/>
        <charset val="1"/>
      </rPr>
      <t xml:space="preserve">Phiếu sau thanh toán ghi "HÓA ĐƠN THANH TOÁN", "Mã HĐ" (quầy) hoặc "HÓA ĐƠN / </t>
    </r>
    <r>
      <rPr>
        <sz val="10"/>
        <rFont val="Noto Sans CJK SC"/>
        <family val="2"/>
      </rPr>
      <t xml:space="preserve">收款小票</t>
    </r>
    <r>
      <rPr>
        <sz val="10"/>
        <rFont val="Arial"/>
        <family val="0"/>
        <charset val="1"/>
      </rPr>
      <t xml:space="preserve">" (SUNMI LAN) dù hệ thống không phát hành hóa đơn điện tử; không ghi ai thu tiền. Hai nút in trình duyệt cho hai bố cục khác nhau (một có địa chỉ/MST, một không).</t>
    </r>
  </si>
  <si>
    <t xml:space="preserve">Mỗi đường in tự viết tiêu đề cứng và trôi khỏi nhau; dữ liệu đơn không lưu người xác nhận thanh toán nên không in được người thu.</t>
  </si>
  <si>
    <t xml:space="preserve">Payload biên lai mang tiêu đề, câu "Không phải hóa đơn", người thu, giờ thu, lời cảm ơn; mọi đường in đọc từ payload (APK cũ vẫn có giá trị dự phòng). Migration 0005 lưu paid_by/paid_by_name lúc thu cho đơn và bill. Một hàm browserReceipt() cho cả hai nút in.</t>
  </si>
  <si>
    <t xml:space="preserve">tests/receipt.test.mjs: người thu lưu khi trả đơn và bill, giữ nguyên sau khi đổi tên; mọi đường in có tiêu đề biên lai, không còn "HÓA ĐƠN".</t>
  </si>
  <si>
    <t xml:space="preserve">Chữ trên giấy in là cam kết với khách và thuế: đặt ở một nơi (payload), các máy in chỉ trình bày.</t>
  </si>
  <si>
    <t xml:space="preserve">Tổng</t>
  </si>
  <si>
    <t xml:space="preserve">Số lỗi</t>
  </si>
  <si>
    <t xml:space="preserve">Mới</t>
  </si>
  <si>
    <t xml:space="preserve">Không sửa</t>
  </si>
  <si>
    <t xml:space="preserve">Bảng này do scripts/add-bug.py dựng lại từ cột H mỗi lần thêm lỗi.</t>
  </si>
  <si>
    <t xml:space="preserve">Hạng mục</t>
  </si>
  <si>
    <t xml:space="preserve">Câu hỏi trước khi merge / phát hành</t>
  </si>
  <si>
    <t xml:space="preserve">Tác vụ CPU nặng trong Worker (crypto, JSON lớn, chuỗi truy vấn D1)? Client xử lý phản hồi HTML/1102/5xx?</t>
  </si>
  <si>
    <t xml:space="preserve">Quét API/CSS mới trong public/ và android/.../assets; mục tiêu Chromium 83 + iOS 15 (danh sách trong tests/platform-guards.test.mjs).</t>
  </si>
  <si>
    <t xml:space="preserve">Render</t>
  </si>
  <si>
    <t xml:space="preserve">render() gọi từ timer, sự kiện nền hoặc khi dữ liệu tải xong có xóa input (mọi ô, không chỉ ô đang focus) hoặc reset luồng đang chạy không? E2E có bước gõ trong lúc API trả lời chậm (window.__slow) không?</t>
  </si>
  <si>
    <t xml:space="preserve">Render có chịu được phản hồi thiếu trường (POST ≠ GET)?</t>
  </si>
  <si>
    <t xml:space="preserve">Origin/CORS</t>
  </si>
  <si>
    <t xml:space="preserve">WebView SUNMI gửi file://; trình duyệt gửi origin thật; app Android có thể gửi null.</t>
  </si>
  <si>
    <t xml:space="preserve">Validate</t>
  </si>
  <si>
    <t xml:space="preserve">Mỗi quy tắc dữ liệu một nguồn duy nhất + test đối chiếu client/server.</t>
  </si>
  <si>
    <t xml:space="preserve">Fallback im lặng</t>
  </si>
  <si>
    <t xml:space="preserve">Tính năng tự chuyển sang cách khác có log và hiện trạng thái không?</t>
  </si>
  <si>
    <t xml:space="preserve">Test vs production</t>
  </si>
  <si>
    <t xml:space="preserve">Có chạy dưới giới hạn CPU, WebView cũ, thiết bị/emulator thật không?</t>
  </si>
  <si>
    <t xml:space="preserve">Android</t>
  </si>
  <si>
    <t xml:space="preserve">Luồng nào mất trạng thái khi app bị kill?</t>
  </si>
  <si>
    <t xml:space="preserve">Rate limit</t>
  </si>
  <si>
    <t xml:space="preserve">Nơi nào khách cả quán dùng chung một IP?</t>
  </si>
  <si>
    <t xml:space="preserve">Cách ly quán (SaaS)</t>
  </si>
  <si>
    <t xml:space="preserve">Secret, token, cookie, tên DO/KV, cache, file tĩnh, migration có mang dữ liệu/phạm vi của quán khác không?</t>
  </si>
  <si>
    <t xml:space="preserve">Ngân sách Free (SaaS)</t>
  </si>
  <si>
    <t xml:space="preserve">Request/ngày, CPU/request, số D1, dung lượng D1 của tính năng mới?</t>
  </si>
  <si>
    <t xml:space="preserve">Form &amp; DOM</t>
  </si>
  <si>
    <t xml:space="preserve">Form có ô tên "id"/"action"/"name" không? Luôn đọc getAttribute('id'); mọi form tạo/sửa dữ liệu có bước E2E bấm Lưu và kiểm dữ liệu trên server.</t>
  </si>
  <si>
    <t xml:space="preserve">Pattern HTML</t>
  </si>
  <si>
    <t xml:space="preserve">Mọi pattern="" biên dịch được với new RegExp(p, 'v') (Chrome mới), không chỉ thử trên máy cũ.</t>
  </si>
  <si>
    <t xml:space="preserve">Giấy in</t>
  </si>
  <si>
    <t xml:space="preserve">Tiêu đề, lời cảm ơn, tên quán, người thu đến từ một payload; không ghi "hóa đơn" khi không phát hành hóa đơn điện tử.</t>
  </si>
  <si>
    <t xml:space="preserve">Giá trị mặc định (tô, cay, ...) có đúng với mọi loại món không? Chỉ lưu khi món có tùy chọn đó.</t>
  </si>
  <si>
    <t xml:space="preserve">Hai repo</t>
  </si>
  <si>
    <t xml:space="preserve">Lỗi sửa ở lotus-pos-saas đã đối chiếu với pos-phattai (và ngược lại) chưa? Ghi dòng PT-/SAAS- tương ứng.</t>
  </si>
  <si>
    <t xml:space="preserve">Async trong try</t>
  </si>
  <si>
    <t xml:space="preserve">Hàm async return trong try/catch có await không (return await f())? Body hỏng/null tới mọi endpoint POST có ra JSON 4xx không?</t>
  </si>
  <si>
    <t xml:space="preserve">Mất mạng ≠ chưa mở</t>
  </si>
  <si>
    <t xml:space="preserve">Màn hình phân biệt mất mạng, server lỗi, quán chưa nhận đơn bằng câu riêng; lỗi mạng tự xóa khi có mạng lại?</t>
  </si>
  <si>
    <t xml:space="preserve">Mỗi vai trò được thấy trường nào? Server có lọc (không chỉ giao diện ẩn) và có test quét phản hồi không lộ tiền, SĐT, khách hàng không?</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</si>
</sst>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b val="true"/>
      <sz val="11"/>
      <color rgb="FFFFFFFF"/>
      <name val="Arial"/>
      <family val="0"/>
      <charset val="1"/>
    </font>
    <font>
      <b val="true"/>
      <sz val="10"/>
      <name val="Arial"/>
      <family val="0"/>
      <charset val="1"/>
    </font>
    <font>
      <sz val="10"/>
      <name val="Arial"/>
      <family val="0"/>
      <charset val="1"/>
    </font>
    <font>
      <sz val="10"/>
      <name val="Noto Sans CJK SC"/>
      <family val="2"/>
    </font>
    <font>
      <i val="true"/>
      <sz val="11"/>
      <color rgb="FF5D6E6C"/>
      <name val="Arial"/>
      <family val="0"/>
      <charset val="1"/>
    </font>
  </fonts>
  <fills count="6">
    <fill>
      <patternFill patternType="none"/>
    </fill>
    <fill>
      <patternFill patternType="gray125"/>
    </fill>
    <fill>
      <patternFill patternType="solid">
        <fgColor rgb="FF203B39"/>
        <bgColor rgb="FF333300"/>
      </patternFill>
    </fill>
    <fill>
      <patternFill patternType="solid">
        <fgColor rgb="FFFBECD1"/>
        <bgColor rgb="FFF6D9D6"/>
      </patternFill>
    </fill>
    <fill>
      <patternFill patternType="solid">
        <fgColor rgb="FFF6D9D6"/>
        <bgColor rgb="FFFBECD1"/>
      </patternFill>
    </fill>
    <fill>
      <patternFill patternType="solid">
        <fgColor rgb="FFE4ECEA"/>
        <bgColor rgb="FFFBECD1"/>
      </patternFill>
    </fill>
  </fills>
  <borders count="2">
    <border diagonalUp="false" diagonalDown="false">
      <left/>
      <right/>
      <top/>
      <bottom/>
      <diagonal/>
    </border>
    <border diagonalUp="false" diagonalDown="false">
      <left style="thin">
        <color rgb="FFC9D3D1"/>
      </left>
      <right style="thin">
        <color rgb="FFC9D3D1"/>
      </right>
      <top style="thin">
        <color rgb="FFC9D3D1"/>
      </top>
      <bottom style="thin">
        <color rgb="FFC9D3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03B39"/>
          <bgColor rgb="FF000000"/>
        </patternFill>
      </fill>
    </dxf>
    <dxf>
      <fill>
        <patternFill patternType="solid">
          <bgColor rgb="FF000000"/>
        </patternFill>
      </fill>
    </dxf>
    <dxf>
      <fill>
        <patternFill patternType="solid">
          <fgColor rgb="FFFFFFFF"/>
          <bgColor rgb="FF000000"/>
        </patternFill>
      </fill>
    </dxf>
    <dxf>
      <fill>
        <patternFill patternType="solid">
          <fgColor rgb="FFE4ECEA"/>
          <bgColor rgb="FF000000"/>
        </patternFill>
      </fill>
    </dxf>
    <dxf>
      <fill>
        <patternFill patternType="solid">
          <fgColor rgb="FFF6D9D6"/>
          <bgColor rgb="FF000000"/>
        </patternFill>
      </fill>
    </dxf>
    <dxf>
      <fill>
        <patternFill patternType="solid">
          <fgColor rgb="FFFBECD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CD1"/>
      <rgbColor rgb="FFE4ECEA"/>
      <rgbColor rgb="FF660066"/>
      <rgbColor rgb="FFFF8080"/>
      <rgbColor rgb="FF0066CC"/>
      <rgbColor rgb="FFC9D3D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D9D6"/>
      <rgbColor rgb="FF3366FF"/>
      <rgbColor rgb="FF33CCCC"/>
      <rgbColor rgb="FF99CC00"/>
      <rgbColor rgb="FFFFCC00"/>
      <rgbColor rgb="FFFF9900"/>
      <rgbColor rgb="FFFF6600"/>
      <rgbColor rgb="FF5D6E6C"/>
      <rgbColor rgb="FF969696"/>
      <rgbColor rgb="FF003366"/>
      <rgbColor rgb="FF339966"/>
      <rgbColor rgb="FF003300"/>
      <rgbColor rgb="FF333300"/>
      <rgbColor rgb="FF993300"/>
      <rgbColor rgb="FF993366"/>
      <rgbColor rgb="FF333399"/>
      <rgbColor rgb="FF203B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Bugs" displayName="Bugs" ref="A1:O82" headerRowCount="1" totalsRowCount="0" totalsRowShown="0">
  <autoFilter ref="A1:O82"/>
  <tableColumns count="15">
    <tableColumn id="1" name="ID"/>
    <tableColumn id="2" name="Ngày phát hiện"/>
    <tableColumn id="3" name="Nguồn"/>
    <tableColumn id="4" name="Phân hệ"/>
    <tableColumn id="5" name="File / vị trí"/>
    <tableColumn id="6" name="Môi trường lộ lỗi"/>
    <tableColumn id="7" name="Mức độ"/>
    <tableColumn id="8" name="Nhóm lỗi"/>
    <tableColumn id="9" name="Triệu chứng"/>
    <tableColumn id="10" name="Nguyên nhân gốc (kỹ thuật)"/>
    <tableColumn id="11" name="Cách sửa"/>
    <tableColumn id="12" name="Test chặn tái phạm"/>
    <tableColumn id="13" name="Bài học / câu hỏi rà soát"/>
    <tableColumn id="14" name="Commit / tham chiếu"/>
    <tableColumn id="15" name="Trạng thái"/>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26.25" hidden="false" customHeight="true" outlineLevel="0" collapsed="false">
      <c r="A1" s="2" t="s">
        <v>0</v>
      </c>
    </row>
    <row r="2" customFormat="false" ht="15" hidden="false" customHeight="true" outlineLevel="0" collapsed="false">
      <c r="A2" s="3" t="s">
        <v>1</v>
      </c>
    </row>
    <row r="3" customFormat="false" ht="26.25" hidden="false" customHeight="true" outlineLevel="0" collapsed="false">
      <c r="A3" s="3" t="s">
        <v>2</v>
      </c>
    </row>
    <row r="4" customFormat="false" ht="15" hidden="false" customHeight="true" outlineLevel="0" collapsed="false">
      <c r="A4" s="3" t="s">
        <v>3</v>
      </c>
    </row>
    <row r="5" customFormat="false" ht="15" hidden="false" customHeight="true" outlineLevel="0" collapsed="false">
      <c r="A5" s="3" t="s">
        <v>4</v>
      </c>
    </row>
    <row r="6" customFormat="false" ht="26.25" hidden="false" customHeight="true" outlineLevel="0" collapsed="false">
      <c r="A6" s="3" t="s">
        <v>5</v>
      </c>
    </row>
    <row r="7" customFormat="false" ht="15" hidden="false" customHeight="true" outlineLevel="0" collapsed="false">
      <c r="A7" s="3" t="s">
        <v>6</v>
      </c>
    </row>
    <row r="8" customFormat="false" ht="15" hidden="false" customHeight="true" outlineLevel="0" collapsed="false">
      <c r="A8" s="3"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11"/>
    <col collapsed="false" customWidth="true" hidden="false" outlineLevel="0" max="4" min="4" style="1" width="14"/>
    <col collapsed="false" customWidth="true" hidden="false" outlineLevel="0" max="5" min="5" style="1" width="30"/>
    <col collapsed="false" customWidth="true" hidden="false" outlineLevel="0" max="6" min="6" style="1" width="20"/>
    <col collapsed="false" customWidth="true" hidden="false" outlineLevel="0" max="7" min="7" style="1" width="9"/>
    <col collapsed="false" customWidth="true" hidden="false" outlineLevel="0" max="8" min="8" style="1" width="20"/>
    <col collapsed="false" customWidth="true" hidden="false" outlineLevel="0" max="9" min="9" style="1" width="40"/>
    <col collapsed="false" customWidth="true" hidden="false" outlineLevel="0" max="10" min="10" style="1" width="55"/>
    <col collapsed="false" customWidth="true" hidden="false" outlineLevel="0" max="11" min="11" style="1" width="50"/>
    <col collapsed="false" customWidth="true" hidden="false" outlineLevel="0" max="12" min="12" style="1" width="32"/>
    <col collapsed="false" customWidth="true" hidden="false" outlineLevel="0" max="13" min="13" style="1" width="50"/>
    <col collapsed="false" customWidth="true" hidden="false" outlineLevel="0" max="14" min="14" style="1" width="18"/>
    <col collapsed="false" customWidth="true" hidden="false" outlineLevel="0" max="15" min="15" style="1" width="11"/>
  </cols>
  <sheetData>
    <row r="1" customFormat="false" ht="31.5" hidden="false" customHeight="true" outlineLevel="0" collapsed="false">
      <c r="A1" s="4" t="s">
        <v>8</v>
      </c>
      <c r="B1" s="4" t="s">
        <v>9</v>
      </c>
      <c r="C1" s="4" t="s">
        <v>10</v>
      </c>
      <c r="D1" s="4" t="s">
        <v>11</v>
      </c>
      <c r="E1" s="4" t="s">
        <v>12</v>
      </c>
      <c r="F1" s="4" t="s">
        <v>13</v>
      </c>
      <c r="G1" s="4" t="s">
        <v>14</v>
      </c>
      <c r="H1" s="4" t="s">
        <v>15</v>
      </c>
      <c r="I1" s="4" t="s">
        <v>16</v>
      </c>
      <c r="J1" s="4" t="s">
        <v>17</v>
      </c>
      <c r="K1" s="4" t="s">
        <v>18</v>
      </c>
      <c r="L1" s="4" t="s">
        <v>19</v>
      </c>
      <c r="M1" s="4" t="s">
        <v>20</v>
      </c>
      <c r="N1" s="4" t="s">
        <v>21</v>
      </c>
      <c r="O1" s="4" t="s">
        <v>22</v>
      </c>
    </row>
    <row r="2" customFormat="false" ht="45.75" hidden="false" customHeight="true" outlineLevel="0" collapsed="false">
      <c r="A2" s="5" t="s">
        <v>23</v>
      </c>
      <c r="B2" s="6" t="s">
        <v>24</v>
      </c>
      <c r="C2" s="6" t="s">
        <v>25</v>
      </c>
      <c r="D2" s="6" t="s">
        <v>26</v>
      </c>
      <c r="E2" s="6" t="s">
        <v>27</v>
      </c>
      <c r="F2" s="6" t="s">
        <v>28</v>
      </c>
      <c r="G2" s="7" t="s">
        <v>29</v>
      </c>
      <c r="H2" s="6" t="s">
        <v>30</v>
      </c>
      <c r="I2" s="6" t="s">
        <v>31</v>
      </c>
      <c r="J2" s="6" t="s">
        <v>32</v>
      </c>
      <c r="K2" s="6" t="s">
        <v>33</v>
      </c>
      <c r="L2" s="6" t="s">
        <v>34</v>
      </c>
      <c r="M2" s="6" t="s">
        <v>35</v>
      </c>
      <c r="N2" s="6" t="s">
        <v>36</v>
      </c>
      <c r="O2" s="6" t="s">
        <v>37</v>
      </c>
    </row>
    <row r="3" customFormat="false" ht="34.5" hidden="false" customHeight="true" outlineLevel="0" collapsed="false">
      <c r="A3" s="5" t="s">
        <v>38</v>
      </c>
      <c r="B3" s="6" t="s">
        <v>24</v>
      </c>
      <c r="C3" s="6" t="s">
        <v>25</v>
      </c>
      <c r="D3" s="6" t="s">
        <v>39</v>
      </c>
      <c r="E3" s="6" t="s">
        <v>40</v>
      </c>
      <c r="F3" s="6" t="s">
        <v>41</v>
      </c>
      <c r="G3" s="7" t="s">
        <v>29</v>
      </c>
      <c r="H3" s="6" t="s">
        <v>30</v>
      </c>
      <c r="I3" s="6" t="s">
        <v>42</v>
      </c>
      <c r="J3" s="6" t="s">
        <v>43</v>
      </c>
      <c r="K3" s="6" t="s">
        <v>44</v>
      </c>
      <c r="L3" s="6" t="s">
        <v>45</v>
      </c>
      <c r="M3" s="6" t="s">
        <v>46</v>
      </c>
      <c r="N3" s="6" t="s">
        <v>47</v>
      </c>
      <c r="O3" s="6" t="s">
        <v>37</v>
      </c>
    </row>
    <row r="4" customFormat="false" ht="34.5" hidden="false" customHeight="true" outlineLevel="0" collapsed="false">
      <c r="A4" s="5" t="s">
        <v>48</v>
      </c>
      <c r="B4" s="6" t="s">
        <v>24</v>
      </c>
      <c r="C4" s="6" t="s">
        <v>25</v>
      </c>
      <c r="D4" s="6" t="s">
        <v>49</v>
      </c>
      <c r="E4" s="6" t="s">
        <v>50</v>
      </c>
      <c r="F4" s="6" t="s">
        <v>51</v>
      </c>
      <c r="G4" s="8" t="s">
        <v>52</v>
      </c>
      <c r="H4" s="6" t="s">
        <v>53</v>
      </c>
      <c r="I4" s="6" t="s">
        <v>54</v>
      </c>
      <c r="J4" s="6" t="s">
        <v>55</v>
      </c>
      <c r="K4" s="6" t="s">
        <v>56</v>
      </c>
      <c r="L4" s="6" t="s">
        <v>57</v>
      </c>
      <c r="M4" s="6" t="s">
        <v>58</v>
      </c>
      <c r="N4" s="6" t="s">
        <v>59</v>
      </c>
      <c r="O4" s="6" t="s">
        <v>37</v>
      </c>
    </row>
    <row r="5" customFormat="false" ht="23.25" hidden="false" customHeight="true" outlineLevel="0" collapsed="false">
      <c r="A5" s="5" t="s">
        <v>60</v>
      </c>
      <c r="B5" s="6" t="s">
        <v>24</v>
      </c>
      <c r="C5" s="6" t="s">
        <v>25</v>
      </c>
      <c r="D5" s="6" t="s">
        <v>61</v>
      </c>
      <c r="E5" s="6" t="s">
        <v>62</v>
      </c>
      <c r="F5" s="6" t="s">
        <v>63</v>
      </c>
      <c r="G5" s="8" t="s">
        <v>52</v>
      </c>
      <c r="H5" s="6" t="s">
        <v>53</v>
      </c>
      <c r="I5" s="6" t="s">
        <v>64</v>
      </c>
      <c r="J5" s="6" t="s">
        <v>65</v>
      </c>
      <c r="K5" s="6" t="s">
        <v>66</v>
      </c>
      <c r="L5" s="6" t="s">
        <v>67</v>
      </c>
      <c r="M5" s="6" t="s">
        <v>68</v>
      </c>
      <c r="N5" s="6" t="s">
        <v>59</v>
      </c>
      <c r="O5" s="6" t="s">
        <v>37</v>
      </c>
    </row>
    <row r="6" customFormat="false" ht="23.25" hidden="false" customHeight="true" outlineLevel="0" collapsed="false">
      <c r="A6" s="5" t="s">
        <v>69</v>
      </c>
      <c r="B6" s="6" t="s">
        <v>24</v>
      </c>
      <c r="C6" s="6" t="s">
        <v>25</v>
      </c>
      <c r="D6" s="6" t="s">
        <v>70</v>
      </c>
      <c r="E6" s="6" t="s">
        <v>71</v>
      </c>
      <c r="F6" s="6" t="s">
        <v>72</v>
      </c>
      <c r="G6" s="9" t="s">
        <v>73</v>
      </c>
      <c r="H6" s="6" t="s">
        <v>53</v>
      </c>
      <c r="I6" s="6" t="s">
        <v>74</v>
      </c>
      <c r="J6" s="6" t="s">
        <v>75</v>
      </c>
      <c r="K6" s="6" t="s">
        <v>76</v>
      </c>
      <c r="L6" s="6" t="s">
        <v>77</v>
      </c>
      <c r="M6" s="6" t="s">
        <v>78</v>
      </c>
      <c r="N6" s="6" t="s">
        <v>59</v>
      </c>
      <c r="O6" s="6" t="s">
        <v>37</v>
      </c>
    </row>
    <row r="7" customFormat="false" ht="34.5" hidden="false" customHeight="true" outlineLevel="0" collapsed="false">
      <c r="A7" s="5" t="s">
        <v>79</v>
      </c>
      <c r="B7" s="6" t="s">
        <v>24</v>
      </c>
      <c r="C7" s="6" t="s">
        <v>25</v>
      </c>
      <c r="D7" s="6" t="s">
        <v>80</v>
      </c>
      <c r="E7" s="6" t="s">
        <v>81</v>
      </c>
      <c r="F7" s="6" t="s">
        <v>82</v>
      </c>
      <c r="G7" s="8" t="s">
        <v>52</v>
      </c>
      <c r="H7" s="6" t="s">
        <v>83</v>
      </c>
      <c r="I7" s="6" t="s">
        <v>84</v>
      </c>
      <c r="J7" s="6" t="s">
        <v>85</v>
      </c>
      <c r="K7" s="6" t="s">
        <v>86</v>
      </c>
      <c r="L7" s="6" t="s">
        <v>87</v>
      </c>
      <c r="M7" s="6" t="s">
        <v>88</v>
      </c>
      <c r="N7" s="6" t="s">
        <v>89</v>
      </c>
      <c r="O7" s="6" t="s">
        <v>37</v>
      </c>
    </row>
    <row r="8" customFormat="false" ht="23.25" hidden="false" customHeight="true" outlineLevel="0" collapsed="false">
      <c r="A8" s="5" t="s">
        <v>90</v>
      </c>
      <c r="B8" s="6" t="s">
        <v>24</v>
      </c>
      <c r="C8" s="6" t="s">
        <v>25</v>
      </c>
      <c r="D8" s="6" t="s">
        <v>91</v>
      </c>
      <c r="E8" s="6" t="s">
        <v>92</v>
      </c>
      <c r="F8" s="6" t="s">
        <v>93</v>
      </c>
      <c r="G8" s="8" t="s">
        <v>52</v>
      </c>
      <c r="H8" s="6" t="s">
        <v>94</v>
      </c>
      <c r="I8" s="6" t="s">
        <v>95</v>
      </c>
      <c r="J8" s="6" t="s">
        <v>96</v>
      </c>
      <c r="K8" s="6" t="s">
        <v>97</v>
      </c>
      <c r="L8" s="6" t="s">
        <v>98</v>
      </c>
      <c r="M8" s="6" t="s">
        <v>99</v>
      </c>
      <c r="N8" s="6" t="s">
        <v>100</v>
      </c>
      <c r="O8" s="6" t="s">
        <v>37</v>
      </c>
    </row>
    <row r="9" customFormat="false" ht="34.5" hidden="false" customHeight="true" outlineLevel="0" collapsed="false">
      <c r="A9" s="5" t="s">
        <v>101</v>
      </c>
      <c r="B9" s="6" t="s">
        <v>24</v>
      </c>
      <c r="C9" s="6" t="s">
        <v>25</v>
      </c>
      <c r="D9" s="6" t="s">
        <v>102</v>
      </c>
      <c r="E9" s="6" t="s">
        <v>103</v>
      </c>
      <c r="F9" s="6" t="s">
        <v>104</v>
      </c>
      <c r="G9" s="8" t="s">
        <v>52</v>
      </c>
      <c r="H9" s="6" t="s">
        <v>105</v>
      </c>
      <c r="I9" s="6" t="s">
        <v>106</v>
      </c>
      <c r="J9" s="6" t="s">
        <v>107</v>
      </c>
      <c r="K9" s="6" t="s">
        <v>108</v>
      </c>
      <c r="L9" s="6" t="s">
        <v>109</v>
      </c>
      <c r="M9" s="6" t="s">
        <v>110</v>
      </c>
      <c r="N9" s="6" t="s">
        <v>111</v>
      </c>
      <c r="O9" s="6" t="s">
        <v>37</v>
      </c>
    </row>
    <row r="10" customFormat="false" ht="23.25" hidden="false" customHeight="true" outlineLevel="0" collapsed="false">
      <c r="A10" s="5" t="s">
        <v>112</v>
      </c>
      <c r="B10" s="6" t="s">
        <v>24</v>
      </c>
      <c r="C10" s="6" t="s">
        <v>25</v>
      </c>
      <c r="D10" s="6" t="s">
        <v>113</v>
      </c>
      <c r="E10" s="6" t="s">
        <v>114</v>
      </c>
      <c r="F10" s="6" t="s">
        <v>28</v>
      </c>
      <c r="G10" s="8" t="s">
        <v>52</v>
      </c>
      <c r="H10" s="6" t="s">
        <v>115</v>
      </c>
      <c r="I10" s="6" t="s">
        <v>116</v>
      </c>
      <c r="J10" s="6" t="s">
        <v>117</v>
      </c>
      <c r="K10" s="6" t="s">
        <v>118</v>
      </c>
      <c r="L10" s="6" t="s">
        <v>119</v>
      </c>
      <c r="M10" s="6" t="s">
        <v>120</v>
      </c>
      <c r="N10" s="6" t="s">
        <v>111</v>
      </c>
      <c r="O10" s="6" t="s">
        <v>37</v>
      </c>
    </row>
    <row r="11" customFormat="false" ht="34.5" hidden="false" customHeight="true" outlineLevel="0" collapsed="false">
      <c r="A11" s="5" t="s">
        <v>121</v>
      </c>
      <c r="B11" s="6" t="s">
        <v>24</v>
      </c>
      <c r="C11" s="6" t="s">
        <v>25</v>
      </c>
      <c r="D11" s="6" t="s">
        <v>70</v>
      </c>
      <c r="E11" s="6" t="s">
        <v>122</v>
      </c>
      <c r="F11" s="6" t="s">
        <v>28</v>
      </c>
      <c r="G11" s="9" t="s">
        <v>73</v>
      </c>
      <c r="H11" s="6" t="s">
        <v>70</v>
      </c>
      <c r="I11" s="6" t="s">
        <v>123</v>
      </c>
      <c r="J11" s="6" t="s">
        <v>124</v>
      </c>
      <c r="K11" s="6" t="s">
        <v>125</v>
      </c>
      <c r="L11" s="6" t="s">
        <v>126</v>
      </c>
      <c r="M11" s="6" t="s">
        <v>127</v>
      </c>
      <c r="N11" s="6" t="s">
        <v>89</v>
      </c>
      <c r="O11" s="6" t="s">
        <v>37</v>
      </c>
    </row>
    <row r="12" customFormat="false" ht="34.5" hidden="false" customHeight="true" outlineLevel="0" collapsed="false">
      <c r="A12" s="5" t="s">
        <v>128</v>
      </c>
      <c r="B12" s="6" t="s">
        <v>24</v>
      </c>
      <c r="C12" s="6" t="s">
        <v>25</v>
      </c>
      <c r="D12" s="6" t="s">
        <v>129</v>
      </c>
      <c r="E12" s="6" t="s">
        <v>130</v>
      </c>
      <c r="F12" s="6" t="s">
        <v>28</v>
      </c>
      <c r="G12" s="9" t="s">
        <v>73</v>
      </c>
      <c r="H12" s="6" t="s">
        <v>70</v>
      </c>
      <c r="I12" s="6" t="s">
        <v>131</v>
      </c>
      <c r="J12" s="6" t="s">
        <v>132</v>
      </c>
      <c r="K12" s="6" t="s">
        <v>133</v>
      </c>
      <c r="L12" s="6" t="s">
        <v>134</v>
      </c>
      <c r="M12" s="6" t="s">
        <v>135</v>
      </c>
      <c r="N12" s="6" t="s">
        <v>136</v>
      </c>
      <c r="O12" s="6" t="s">
        <v>37</v>
      </c>
    </row>
    <row r="13" customFormat="false" ht="23.25" hidden="false" customHeight="true" outlineLevel="0" collapsed="false">
      <c r="A13" s="5" t="s">
        <v>137</v>
      </c>
      <c r="B13" s="6" t="s">
        <v>24</v>
      </c>
      <c r="C13" s="6" t="s">
        <v>25</v>
      </c>
      <c r="D13" s="6" t="s">
        <v>26</v>
      </c>
      <c r="E13" s="6" t="s">
        <v>138</v>
      </c>
      <c r="F13" s="6" t="s">
        <v>139</v>
      </c>
      <c r="G13" s="9" t="s">
        <v>73</v>
      </c>
      <c r="H13" s="6" t="s">
        <v>70</v>
      </c>
      <c r="I13" s="6" t="s">
        <v>140</v>
      </c>
      <c r="J13" s="6" t="s">
        <v>141</v>
      </c>
      <c r="K13" s="6" t="s">
        <v>142</v>
      </c>
      <c r="L13" s="6" t="s">
        <v>143</v>
      </c>
      <c r="M13" s="6" t="s">
        <v>144</v>
      </c>
      <c r="N13" s="6" t="s">
        <v>136</v>
      </c>
      <c r="O13" s="6" t="s">
        <v>37</v>
      </c>
    </row>
    <row r="14" customFormat="false" ht="15" hidden="false" customHeight="true" outlineLevel="0" collapsed="false">
      <c r="A14" s="5" t="s">
        <v>145</v>
      </c>
      <c r="B14" s="6" t="s">
        <v>24</v>
      </c>
      <c r="C14" s="6" t="s">
        <v>25</v>
      </c>
      <c r="D14" s="6" t="s">
        <v>146</v>
      </c>
      <c r="E14" s="6" t="s">
        <v>147</v>
      </c>
      <c r="F14" s="6" t="s">
        <v>148</v>
      </c>
      <c r="G14" s="8" t="s">
        <v>52</v>
      </c>
      <c r="H14" s="6" t="s">
        <v>149</v>
      </c>
      <c r="I14" s="6" t="s">
        <v>150</v>
      </c>
      <c r="J14" s="6" t="s">
        <v>151</v>
      </c>
      <c r="K14" s="6" t="s">
        <v>152</v>
      </c>
      <c r="L14" s="6" t="s">
        <v>153</v>
      </c>
      <c r="M14" s="6" t="s">
        <v>154</v>
      </c>
      <c r="N14" s="6" t="s">
        <v>155</v>
      </c>
      <c r="O14" s="6" t="s">
        <v>37</v>
      </c>
    </row>
    <row r="15" customFormat="false" ht="15" hidden="false" customHeight="true" outlineLevel="0" collapsed="false">
      <c r="A15" s="5" t="s">
        <v>156</v>
      </c>
      <c r="B15" s="6" t="s">
        <v>24</v>
      </c>
      <c r="C15" s="6" t="s">
        <v>25</v>
      </c>
      <c r="D15" s="6" t="s">
        <v>157</v>
      </c>
      <c r="E15" s="6" t="s">
        <v>158</v>
      </c>
      <c r="F15" s="6" t="s">
        <v>159</v>
      </c>
      <c r="G15" s="8" t="s">
        <v>52</v>
      </c>
      <c r="H15" s="6" t="s">
        <v>160</v>
      </c>
      <c r="I15" s="6" t="s">
        <v>161</v>
      </c>
      <c r="J15" s="6" t="s">
        <v>162</v>
      </c>
      <c r="K15" s="6" t="s">
        <v>163</v>
      </c>
      <c r="L15" s="6" t="s">
        <v>164</v>
      </c>
      <c r="M15" s="6" t="s">
        <v>165</v>
      </c>
      <c r="N15" s="6" t="s">
        <v>166</v>
      </c>
      <c r="O15" s="6" t="s">
        <v>37</v>
      </c>
    </row>
    <row r="16" customFormat="false" ht="15" hidden="false" customHeight="true" outlineLevel="0" collapsed="false">
      <c r="A16" s="5" t="s">
        <v>167</v>
      </c>
      <c r="B16" s="6" t="s">
        <v>24</v>
      </c>
      <c r="C16" s="6" t="s">
        <v>25</v>
      </c>
      <c r="D16" s="6" t="s">
        <v>168</v>
      </c>
      <c r="E16" s="6" t="s">
        <v>169</v>
      </c>
      <c r="F16" s="6" t="s">
        <v>28</v>
      </c>
      <c r="G16" s="7" t="s">
        <v>29</v>
      </c>
      <c r="H16" s="6" t="s">
        <v>160</v>
      </c>
      <c r="I16" s="6" t="s">
        <v>170</v>
      </c>
      <c r="J16" s="6" t="s">
        <v>171</v>
      </c>
      <c r="K16" s="6" t="s">
        <v>172</v>
      </c>
      <c r="L16" s="6" t="s">
        <v>173</v>
      </c>
      <c r="M16" s="6" t="s">
        <v>174</v>
      </c>
      <c r="N16" s="6" t="s">
        <v>175</v>
      </c>
      <c r="O16" s="6" t="s">
        <v>37</v>
      </c>
    </row>
    <row r="17" customFormat="false" ht="23.25" hidden="false" customHeight="true" outlineLevel="0" collapsed="false">
      <c r="A17" s="5" t="s">
        <v>176</v>
      </c>
      <c r="B17" s="6" t="s">
        <v>177</v>
      </c>
      <c r="C17" s="6" t="s">
        <v>25</v>
      </c>
      <c r="D17" s="6" t="s">
        <v>178</v>
      </c>
      <c r="E17" s="6" t="s">
        <v>179</v>
      </c>
      <c r="F17" s="6" t="s">
        <v>28</v>
      </c>
      <c r="G17" s="7" t="s">
        <v>29</v>
      </c>
      <c r="H17" s="6" t="s">
        <v>180</v>
      </c>
      <c r="I17" s="6" t="s">
        <v>181</v>
      </c>
      <c r="J17" s="6" t="s">
        <v>182</v>
      </c>
      <c r="K17" s="6" t="s">
        <v>183</v>
      </c>
      <c r="L17" s="6" t="s">
        <v>184</v>
      </c>
      <c r="M17" s="6" t="s">
        <v>185</v>
      </c>
      <c r="N17" s="6" t="s">
        <v>186</v>
      </c>
      <c r="O17" s="6" t="s">
        <v>37</v>
      </c>
    </row>
    <row r="18" customFormat="false" ht="15" hidden="false" customHeight="true" outlineLevel="0" collapsed="false">
      <c r="A18" s="5" t="s">
        <v>187</v>
      </c>
      <c r="B18" s="6" t="s">
        <v>24</v>
      </c>
      <c r="C18" s="6" t="s">
        <v>25</v>
      </c>
      <c r="D18" s="6" t="s">
        <v>188</v>
      </c>
      <c r="E18" s="6" t="s">
        <v>189</v>
      </c>
      <c r="F18" s="6" t="s">
        <v>190</v>
      </c>
      <c r="G18" s="9" t="s">
        <v>73</v>
      </c>
      <c r="H18" s="6" t="s">
        <v>105</v>
      </c>
      <c r="I18" s="6" t="s">
        <v>191</v>
      </c>
      <c r="J18" s="6" t="s">
        <v>192</v>
      </c>
      <c r="K18" s="6" t="s">
        <v>193</v>
      </c>
      <c r="L18" s="6" t="s">
        <v>194</v>
      </c>
      <c r="M18" s="6" t="s">
        <v>195</v>
      </c>
      <c r="N18" s="6" t="s">
        <v>196</v>
      </c>
      <c r="O18" s="6" t="s">
        <v>37</v>
      </c>
    </row>
    <row r="19" customFormat="false" ht="23.25" hidden="false" customHeight="true" outlineLevel="0" collapsed="false">
      <c r="A19" s="5" t="s">
        <v>197</v>
      </c>
      <c r="B19" s="6" t="s">
        <v>24</v>
      </c>
      <c r="C19" s="6" t="s">
        <v>25</v>
      </c>
      <c r="D19" s="6" t="s">
        <v>198</v>
      </c>
      <c r="E19" s="6" t="s">
        <v>199</v>
      </c>
      <c r="F19" s="6" t="s">
        <v>200</v>
      </c>
      <c r="G19" s="7" t="s">
        <v>29</v>
      </c>
      <c r="H19" s="6" t="s">
        <v>201</v>
      </c>
      <c r="I19" s="6" t="s">
        <v>202</v>
      </c>
      <c r="J19" s="6" t="s">
        <v>203</v>
      </c>
      <c r="K19" s="6" t="s">
        <v>204</v>
      </c>
      <c r="L19" s="6" t="s">
        <v>205</v>
      </c>
      <c r="M19" s="6" t="s">
        <v>206</v>
      </c>
      <c r="N19" s="6" t="s">
        <v>207</v>
      </c>
      <c r="O19" s="6" t="s">
        <v>37</v>
      </c>
    </row>
    <row r="20" customFormat="false" ht="23.25" hidden="false" customHeight="true" outlineLevel="0" collapsed="false">
      <c r="A20" s="5" t="s">
        <v>208</v>
      </c>
      <c r="B20" s="6" t="s">
        <v>24</v>
      </c>
      <c r="C20" s="6" t="s">
        <v>25</v>
      </c>
      <c r="D20" s="6" t="s">
        <v>209</v>
      </c>
      <c r="E20" s="6" t="s">
        <v>210</v>
      </c>
      <c r="F20" s="6" t="s">
        <v>211</v>
      </c>
      <c r="G20" s="7" t="s">
        <v>29</v>
      </c>
      <c r="H20" s="6" t="s">
        <v>149</v>
      </c>
      <c r="I20" s="6" t="s">
        <v>212</v>
      </c>
      <c r="J20" s="6" t="s">
        <v>213</v>
      </c>
      <c r="K20" s="6" t="s">
        <v>214</v>
      </c>
      <c r="L20" s="6" t="s">
        <v>215</v>
      </c>
      <c r="M20" s="6" t="s">
        <v>216</v>
      </c>
      <c r="N20" s="6" t="s">
        <v>217</v>
      </c>
      <c r="O20" s="6" t="s">
        <v>37</v>
      </c>
    </row>
    <row r="21" customFormat="false" ht="15" hidden="false" customHeight="true" outlineLevel="0" collapsed="false">
      <c r="A21" s="5" t="s">
        <v>218</v>
      </c>
      <c r="B21" s="6" t="s">
        <v>24</v>
      </c>
      <c r="C21" s="6" t="s">
        <v>25</v>
      </c>
      <c r="D21" s="6" t="s">
        <v>219</v>
      </c>
      <c r="E21" s="6" t="s">
        <v>220</v>
      </c>
      <c r="F21" s="6" t="s">
        <v>221</v>
      </c>
      <c r="G21" s="7" t="s">
        <v>29</v>
      </c>
      <c r="H21" s="6" t="s">
        <v>222</v>
      </c>
      <c r="I21" s="6" t="s">
        <v>223</v>
      </c>
      <c r="J21" s="6" t="s">
        <v>224</v>
      </c>
      <c r="K21" s="6" t="s">
        <v>225</v>
      </c>
      <c r="L21" s="6" t="s">
        <v>226</v>
      </c>
      <c r="M21" s="6" t="s">
        <v>227</v>
      </c>
      <c r="N21" s="6" t="s">
        <v>228</v>
      </c>
      <c r="O21" s="6" t="s">
        <v>37</v>
      </c>
    </row>
    <row r="22" customFormat="false" ht="23.25" hidden="false" customHeight="true" outlineLevel="0" collapsed="false">
      <c r="A22" s="5" t="s">
        <v>229</v>
      </c>
      <c r="B22" s="6" t="s">
        <v>24</v>
      </c>
      <c r="C22" s="6" t="s">
        <v>25</v>
      </c>
      <c r="D22" s="6" t="s">
        <v>230</v>
      </c>
      <c r="E22" s="6" t="s">
        <v>231</v>
      </c>
      <c r="F22" s="6" t="s">
        <v>232</v>
      </c>
      <c r="G22" s="7" t="s">
        <v>29</v>
      </c>
      <c r="H22" s="6" t="s">
        <v>149</v>
      </c>
      <c r="I22" s="6" t="s">
        <v>233</v>
      </c>
      <c r="J22" s="6" t="s">
        <v>234</v>
      </c>
      <c r="K22" s="6" t="s">
        <v>235</v>
      </c>
      <c r="L22" s="6" t="s">
        <v>236</v>
      </c>
      <c r="M22" s="6" t="s">
        <v>237</v>
      </c>
      <c r="N22" s="6" t="s">
        <v>238</v>
      </c>
      <c r="O22" s="6" t="s">
        <v>37</v>
      </c>
    </row>
    <row r="23" customFormat="false" ht="23.25" hidden="false" customHeight="true" outlineLevel="0" collapsed="false">
      <c r="A23" s="5" t="s">
        <v>239</v>
      </c>
      <c r="B23" s="6" t="s">
        <v>24</v>
      </c>
      <c r="C23" s="6" t="s">
        <v>25</v>
      </c>
      <c r="D23" s="6" t="s">
        <v>240</v>
      </c>
      <c r="E23" s="6" t="s">
        <v>241</v>
      </c>
      <c r="F23" s="6" t="s">
        <v>242</v>
      </c>
      <c r="G23" s="8" t="s">
        <v>52</v>
      </c>
      <c r="H23" s="6" t="s">
        <v>243</v>
      </c>
      <c r="I23" s="6" t="s">
        <v>244</v>
      </c>
      <c r="J23" s="6" t="s">
        <v>245</v>
      </c>
      <c r="K23" s="6" t="s">
        <v>246</v>
      </c>
      <c r="L23" s="6" t="s">
        <v>247</v>
      </c>
      <c r="M23" s="6" t="s">
        <v>248</v>
      </c>
      <c r="N23" s="6" t="s">
        <v>249</v>
      </c>
      <c r="O23" s="6" t="s">
        <v>37</v>
      </c>
    </row>
    <row r="24" customFormat="false" ht="23.25" hidden="false" customHeight="true" outlineLevel="0" collapsed="false">
      <c r="A24" s="5" t="s">
        <v>250</v>
      </c>
      <c r="B24" s="6" t="s">
        <v>251</v>
      </c>
      <c r="C24" s="6" t="s">
        <v>25</v>
      </c>
      <c r="D24" s="6" t="s">
        <v>252</v>
      </c>
      <c r="E24" s="6" t="s">
        <v>253</v>
      </c>
      <c r="F24" s="6" t="s">
        <v>254</v>
      </c>
      <c r="G24" s="8" t="s">
        <v>52</v>
      </c>
      <c r="H24" s="6" t="s">
        <v>255</v>
      </c>
      <c r="I24" s="6" t="s">
        <v>256</v>
      </c>
      <c r="J24" s="6" t="s">
        <v>257</v>
      </c>
      <c r="K24" s="6" t="s">
        <v>258</v>
      </c>
      <c r="L24" s="6" t="s">
        <v>259</v>
      </c>
      <c r="M24" s="6" t="s">
        <v>260</v>
      </c>
      <c r="N24" s="6" t="s">
        <v>261</v>
      </c>
      <c r="O24" s="6" t="s">
        <v>37</v>
      </c>
    </row>
    <row r="25" customFormat="false" ht="34.5" hidden="false" customHeight="true" outlineLevel="0" collapsed="false">
      <c r="A25" s="5" t="s">
        <v>262</v>
      </c>
      <c r="B25" s="6" t="s">
        <v>251</v>
      </c>
      <c r="C25" s="6" t="s">
        <v>25</v>
      </c>
      <c r="D25" s="6" t="s">
        <v>263</v>
      </c>
      <c r="E25" s="6" t="s">
        <v>264</v>
      </c>
      <c r="F25" s="6" t="s">
        <v>265</v>
      </c>
      <c r="G25" s="9" t="s">
        <v>73</v>
      </c>
      <c r="H25" s="6" t="s">
        <v>266</v>
      </c>
      <c r="I25" s="6" t="s">
        <v>267</v>
      </c>
      <c r="J25" s="6" t="s">
        <v>268</v>
      </c>
      <c r="K25" s="6" t="s">
        <v>269</v>
      </c>
      <c r="L25" s="6" t="s">
        <v>270</v>
      </c>
      <c r="M25" s="6" t="s">
        <v>271</v>
      </c>
      <c r="N25" s="6" t="s">
        <v>272</v>
      </c>
      <c r="O25" s="6" t="s">
        <v>37</v>
      </c>
    </row>
    <row r="26" customFormat="false" ht="23.25" hidden="false" customHeight="true" outlineLevel="0" collapsed="false">
      <c r="A26" s="5" t="s">
        <v>273</v>
      </c>
      <c r="B26" s="6" t="s">
        <v>251</v>
      </c>
      <c r="C26" s="6" t="s">
        <v>25</v>
      </c>
      <c r="D26" s="6" t="s">
        <v>209</v>
      </c>
      <c r="E26" s="6" t="s">
        <v>274</v>
      </c>
      <c r="F26" s="6" t="s">
        <v>275</v>
      </c>
      <c r="G26" s="7" t="s">
        <v>29</v>
      </c>
      <c r="H26" s="6" t="s">
        <v>276</v>
      </c>
      <c r="I26" s="6" t="s">
        <v>277</v>
      </c>
      <c r="J26" s="6" t="s">
        <v>278</v>
      </c>
      <c r="K26" s="6" t="s">
        <v>279</v>
      </c>
      <c r="L26" s="6" t="s">
        <v>280</v>
      </c>
      <c r="M26" s="6" t="s">
        <v>281</v>
      </c>
      <c r="N26" s="6" t="s">
        <v>282</v>
      </c>
      <c r="O26" s="6" t="s">
        <v>37</v>
      </c>
    </row>
    <row r="27" customFormat="false" ht="34.5" hidden="false" customHeight="true" outlineLevel="0" collapsed="false">
      <c r="A27" s="5" t="s">
        <v>283</v>
      </c>
      <c r="B27" s="6" t="s">
        <v>251</v>
      </c>
      <c r="C27" s="6" t="s">
        <v>25</v>
      </c>
      <c r="D27" s="6" t="s">
        <v>284</v>
      </c>
      <c r="E27" s="6" t="s">
        <v>285</v>
      </c>
      <c r="F27" s="6" t="s">
        <v>286</v>
      </c>
      <c r="G27" s="7" t="s">
        <v>29</v>
      </c>
      <c r="H27" s="6" t="s">
        <v>287</v>
      </c>
      <c r="I27" s="6" t="s">
        <v>288</v>
      </c>
      <c r="J27" s="6" t="s">
        <v>289</v>
      </c>
      <c r="K27" s="6" t="s">
        <v>290</v>
      </c>
      <c r="L27" s="6" t="s">
        <v>291</v>
      </c>
      <c r="M27" s="6" t="s">
        <v>292</v>
      </c>
      <c r="N27" s="6" t="s">
        <v>293</v>
      </c>
      <c r="O27" s="6" t="s">
        <v>37</v>
      </c>
    </row>
    <row r="28" customFormat="false" ht="23.25" hidden="false" customHeight="true" outlineLevel="0" collapsed="false">
      <c r="A28" s="5" t="s">
        <v>294</v>
      </c>
      <c r="B28" s="6" t="s">
        <v>251</v>
      </c>
      <c r="C28" s="6" t="s">
        <v>25</v>
      </c>
      <c r="D28" s="6" t="s">
        <v>295</v>
      </c>
      <c r="E28" s="6" t="s">
        <v>296</v>
      </c>
      <c r="F28" s="6" t="s">
        <v>297</v>
      </c>
      <c r="G28" s="7" t="s">
        <v>29</v>
      </c>
      <c r="H28" s="6" t="s">
        <v>298</v>
      </c>
      <c r="I28" s="6" t="s">
        <v>299</v>
      </c>
      <c r="J28" s="6" t="s">
        <v>300</v>
      </c>
      <c r="K28" s="6" t="s">
        <v>301</v>
      </c>
      <c r="L28" s="6" t="s">
        <v>302</v>
      </c>
      <c r="M28" s="6" t="s">
        <v>303</v>
      </c>
      <c r="N28" s="6" t="s">
        <v>304</v>
      </c>
      <c r="O28" s="6" t="s">
        <v>37</v>
      </c>
    </row>
    <row r="29" customFormat="false" ht="23.25" hidden="false" customHeight="true" outlineLevel="0" collapsed="false">
      <c r="A29" s="5" t="s">
        <v>305</v>
      </c>
      <c r="B29" s="6" t="s">
        <v>251</v>
      </c>
      <c r="C29" s="6" t="s">
        <v>25</v>
      </c>
      <c r="D29" s="6" t="s">
        <v>306</v>
      </c>
      <c r="E29" s="6" t="s">
        <v>307</v>
      </c>
      <c r="F29" s="6" t="s">
        <v>308</v>
      </c>
      <c r="G29" s="9" t="s">
        <v>73</v>
      </c>
      <c r="H29" s="6" t="s">
        <v>309</v>
      </c>
      <c r="I29" s="6" t="s">
        <v>310</v>
      </c>
      <c r="J29" s="6" t="s">
        <v>311</v>
      </c>
      <c r="K29" s="6" t="s">
        <v>312</v>
      </c>
      <c r="L29" s="6" t="s">
        <v>313</v>
      </c>
      <c r="M29" s="6" t="s">
        <v>314</v>
      </c>
      <c r="N29" s="6" t="s">
        <v>315</v>
      </c>
      <c r="O29" s="6" t="s">
        <v>37</v>
      </c>
    </row>
    <row r="30" customFormat="false" ht="23.25" hidden="false" customHeight="true" outlineLevel="0" collapsed="false">
      <c r="A30" s="5" t="s">
        <v>316</v>
      </c>
      <c r="B30" s="6" t="s">
        <v>251</v>
      </c>
      <c r="C30" s="6" t="s">
        <v>25</v>
      </c>
      <c r="D30" s="6" t="s">
        <v>317</v>
      </c>
      <c r="E30" s="6" t="s">
        <v>318</v>
      </c>
      <c r="F30" s="6" t="s">
        <v>319</v>
      </c>
      <c r="G30" s="7" t="s">
        <v>29</v>
      </c>
      <c r="H30" s="6" t="s">
        <v>320</v>
      </c>
      <c r="I30" s="6" t="s">
        <v>321</v>
      </c>
      <c r="J30" s="6" t="s">
        <v>322</v>
      </c>
      <c r="K30" s="6" t="s">
        <v>323</v>
      </c>
      <c r="L30" s="6" t="s">
        <v>324</v>
      </c>
      <c r="M30" s="6" t="s">
        <v>325</v>
      </c>
      <c r="N30" s="6" t="s">
        <v>326</v>
      </c>
      <c r="O30" s="6" t="s">
        <v>37</v>
      </c>
    </row>
    <row r="31" customFormat="false" ht="23.25" hidden="false" customHeight="true" outlineLevel="0" collapsed="false">
      <c r="A31" s="5" t="s">
        <v>327</v>
      </c>
      <c r="B31" s="6" t="s">
        <v>251</v>
      </c>
      <c r="C31" s="6" t="s">
        <v>25</v>
      </c>
      <c r="D31" s="6" t="s">
        <v>317</v>
      </c>
      <c r="E31" s="6" t="s">
        <v>328</v>
      </c>
      <c r="F31" s="6" t="s">
        <v>329</v>
      </c>
      <c r="G31" s="9" t="s">
        <v>73</v>
      </c>
      <c r="H31" s="6" t="s">
        <v>330</v>
      </c>
      <c r="I31" s="6" t="s">
        <v>331</v>
      </c>
      <c r="J31" s="6" t="s">
        <v>332</v>
      </c>
      <c r="K31" s="6" t="s">
        <v>333</v>
      </c>
      <c r="L31" s="6" t="s">
        <v>334</v>
      </c>
      <c r="M31" s="6" t="s">
        <v>335</v>
      </c>
      <c r="N31" s="6" t="s">
        <v>336</v>
      </c>
      <c r="O31" s="6" t="s">
        <v>37</v>
      </c>
    </row>
    <row r="32" customFormat="false" ht="34.5" hidden="false" customHeight="true" outlineLevel="0" collapsed="false">
      <c r="A32" s="5" t="s">
        <v>337</v>
      </c>
      <c r="B32" s="6" t="s">
        <v>251</v>
      </c>
      <c r="C32" s="6" t="s">
        <v>25</v>
      </c>
      <c r="D32" s="6" t="s">
        <v>338</v>
      </c>
      <c r="E32" s="6" t="s">
        <v>339</v>
      </c>
      <c r="F32" s="6" t="s">
        <v>340</v>
      </c>
      <c r="G32" s="7" t="s">
        <v>29</v>
      </c>
      <c r="H32" s="6" t="s">
        <v>149</v>
      </c>
      <c r="I32" s="6" t="s">
        <v>341</v>
      </c>
      <c r="J32" s="6" t="s">
        <v>342</v>
      </c>
      <c r="K32" s="6" t="s">
        <v>343</v>
      </c>
      <c r="L32" s="6" t="s">
        <v>344</v>
      </c>
      <c r="M32" s="6" t="s">
        <v>345</v>
      </c>
      <c r="N32" s="6" t="s">
        <v>346</v>
      </c>
      <c r="O32" s="6" t="s">
        <v>37</v>
      </c>
    </row>
    <row r="33" customFormat="false" ht="15" hidden="false" customHeight="true" outlineLevel="0" collapsed="false">
      <c r="A33" s="5" t="s">
        <v>347</v>
      </c>
      <c r="B33" s="6" t="s">
        <v>251</v>
      </c>
      <c r="C33" s="6" t="s">
        <v>25</v>
      </c>
      <c r="D33" s="6" t="s">
        <v>348</v>
      </c>
      <c r="E33" s="6" t="s">
        <v>349</v>
      </c>
      <c r="F33" s="6" t="s">
        <v>350</v>
      </c>
      <c r="G33" s="7" t="s">
        <v>29</v>
      </c>
      <c r="H33" s="6" t="s">
        <v>30</v>
      </c>
      <c r="I33" s="6" t="s">
        <v>351</v>
      </c>
      <c r="J33" s="6" t="s">
        <v>352</v>
      </c>
      <c r="K33" s="6" t="s">
        <v>353</v>
      </c>
      <c r="L33" s="6" t="s">
        <v>354</v>
      </c>
      <c r="M33" s="6" t="s">
        <v>355</v>
      </c>
      <c r="N33" s="6" t="s">
        <v>356</v>
      </c>
      <c r="O33" s="6" t="s">
        <v>37</v>
      </c>
    </row>
    <row r="34" customFormat="false" ht="23.25" hidden="false" customHeight="true" outlineLevel="0" collapsed="false">
      <c r="A34" s="5" t="s">
        <v>357</v>
      </c>
      <c r="B34" s="6" t="s">
        <v>251</v>
      </c>
      <c r="C34" s="6" t="s">
        <v>25</v>
      </c>
      <c r="D34" s="6" t="s">
        <v>358</v>
      </c>
      <c r="E34" s="6" t="s">
        <v>359</v>
      </c>
      <c r="F34" s="6" t="s">
        <v>360</v>
      </c>
      <c r="G34" s="7" t="s">
        <v>29</v>
      </c>
      <c r="H34" s="6" t="s">
        <v>361</v>
      </c>
      <c r="I34" s="6" t="s">
        <v>362</v>
      </c>
      <c r="J34" s="6" t="s">
        <v>363</v>
      </c>
      <c r="K34" s="6" t="s">
        <v>364</v>
      </c>
      <c r="L34" s="6" t="s">
        <v>365</v>
      </c>
      <c r="M34" s="6" t="s">
        <v>366</v>
      </c>
      <c r="N34" s="6" t="s">
        <v>367</v>
      </c>
      <c r="O34" s="6" t="s">
        <v>37</v>
      </c>
    </row>
    <row r="35" customFormat="false" ht="23.25" hidden="false" customHeight="true" outlineLevel="0" collapsed="false">
      <c r="A35" s="5" t="s">
        <v>368</v>
      </c>
      <c r="B35" s="6" t="s">
        <v>251</v>
      </c>
      <c r="C35" s="6" t="s">
        <v>25</v>
      </c>
      <c r="D35" s="6" t="s">
        <v>369</v>
      </c>
      <c r="E35" s="6" t="s">
        <v>370</v>
      </c>
      <c r="F35" s="6" t="s">
        <v>371</v>
      </c>
      <c r="G35" s="7" t="s">
        <v>29</v>
      </c>
      <c r="H35" s="6" t="s">
        <v>372</v>
      </c>
      <c r="I35" s="6" t="s">
        <v>373</v>
      </c>
      <c r="J35" s="6" t="s">
        <v>374</v>
      </c>
      <c r="K35" s="6" t="s">
        <v>375</v>
      </c>
      <c r="L35" s="6" t="s">
        <v>376</v>
      </c>
      <c r="M35" s="6" t="s">
        <v>377</v>
      </c>
      <c r="N35" s="6" t="s">
        <v>378</v>
      </c>
      <c r="O35" s="6" t="s">
        <v>37</v>
      </c>
    </row>
    <row r="36" customFormat="false" ht="23.25" hidden="false" customHeight="true" outlineLevel="0" collapsed="false">
      <c r="A36" s="5" t="s">
        <v>379</v>
      </c>
      <c r="B36" s="6" t="s">
        <v>251</v>
      </c>
      <c r="C36" s="6" t="s">
        <v>25</v>
      </c>
      <c r="D36" s="6" t="s">
        <v>380</v>
      </c>
      <c r="E36" s="6" t="s">
        <v>381</v>
      </c>
      <c r="F36" s="6" t="s">
        <v>382</v>
      </c>
      <c r="G36" s="7" t="s">
        <v>29</v>
      </c>
      <c r="H36" s="6" t="s">
        <v>298</v>
      </c>
      <c r="I36" s="6" t="s">
        <v>383</v>
      </c>
      <c r="J36" s="6" t="s">
        <v>384</v>
      </c>
      <c r="K36" s="6" t="s">
        <v>385</v>
      </c>
      <c r="L36" s="6" t="s">
        <v>386</v>
      </c>
      <c r="M36" s="6" t="s">
        <v>387</v>
      </c>
      <c r="N36" s="6" t="s">
        <v>378</v>
      </c>
      <c r="O36" s="6" t="s">
        <v>37</v>
      </c>
    </row>
    <row r="37" customFormat="false" ht="34.5" hidden="false" customHeight="true" outlineLevel="0" collapsed="false">
      <c r="A37" s="5" t="s">
        <v>388</v>
      </c>
      <c r="B37" s="6" t="s">
        <v>251</v>
      </c>
      <c r="C37" s="6" t="s">
        <v>25</v>
      </c>
      <c r="D37" s="6" t="s">
        <v>389</v>
      </c>
      <c r="E37" s="6" t="s">
        <v>390</v>
      </c>
      <c r="F37" s="6" t="s">
        <v>391</v>
      </c>
      <c r="G37" s="7" t="s">
        <v>29</v>
      </c>
      <c r="H37" s="6" t="s">
        <v>30</v>
      </c>
      <c r="I37" s="6" t="s">
        <v>392</v>
      </c>
      <c r="J37" s="6" t="s">
        <v>393</v>
      </c>
      <c r="K37" s="6" t="s">
        <v>394</v>
      </c>
      <c r="L37" s="6" t="s">
        <v>395</v>
      </c>
      <c r="M37" s="6" t="s">
        <v>396</v>
      </c>
      <c r="N37" s="6" t="s">
        <v>378</v>
      </c>
      <c r="O37" s="6" t="s">
        <v>37</v>
      </c>
    </row>
    <row r="38" customFormat="false" ht="23.25" hidden="false" customHeight="true" outlineLevel="0" collapsed="false">
      <c r="A38" s="5" t="s">
        <v>397</v>
      </c>
      <c r="B38" s="6" t="s">
        <v>251</v>
      </c>
      <c r="C38" s="6" t="s">
        <v>25</v>
      </c>
      <c r="D38" s="6" t="s">
        <v>398</v>
      </c>
      <c r="E38" s="6" t="s">
        <v>399</v>
      </c>
      <c r="F38" s="6" t="s">
        <v>400</v>
      </c>
      <c r="G38" s="9" t="s">
        <v>73</v>
      </c>
      <c r="H38" s="6" t="s">
        <v>298</v>
      </c>
      <c r="I38" s="6" t="s">
        <v>401</v>
      </c>
      <c r="J38" s="6" t="s">
        <v>402</v>
      </c>
      <c r="K38" s="6" t="s">
        <v>403</v>
      </c>
      <c r="L38" s="6" t="s">
        <v>404</v>
      </c>
      <c r="M38" s="6" t="s">
        <v>405</v>
      </c>
      <c r="N38" s="6" t="s">
        <v>378</v>
      </c>
      <c r="O38" s="6" t="s">
        <v>37</v>
      </c>
    </row>
    <row r="39" customFormat="false" ht="45.75" hidden="false" customHeight="true" outlineLevel="0" collapsed="false">
      <c r="A39" s="5" t="s">
        <v>406</v>
      </c>
      <c r="B39" s="6" t="s">
        <v>251</v>
      </c>
      <c r="C39" s="6" t="s">
        <v>25</v>
      </c>
      <c r="D39" s="6" t="s">
        <v>407</v>
      </c>
      <c r="E39" s="6" t="s">
        <v>408</v>
      </c>
      <c r="F39" s="6" t="s">
        <v>409</v>
      </c>
      <c r="G39" s="9" t="s">
        <v>73</v>
      </c>
      <c r="H39" s="6" t="s">
        <v>298</v>
      </c>
      <c r="I39" s="6" t="s">
        <v>410</v>
      </c>
      <c r="J39" s="6" t="s">
        <v>411</v>
      </c>
      <c r="K39" s="6" t="s">
        <v>412</v>
      </c>
      <c r="L39" s="6" t="s">
        <v>413</v>
      </c>
      <c r="M39" s="6" t="s">
        <v>414</v>
      </c>
      <c r="N39" s="6" t="s">
        <v>378</v>
      </c>
      <c r="O39" s="6" t="s">
        <v>37</v>
      </c>
    </row>
    <row r="40" customFormat="false" ht="68.25" hidden="false" customHeight="true" outlineLevel="0" collapsed="false">
      <c r="A40" s="5" t="s">
        <v>415</v>
      </c>
      <c r="B40" s="6" t="s">
        <v>251</v>
      </c>
      <c r="C40" s="6" t="s">
        <v>25</v>
      </c>
      <c r="D40" s="6" t="s">
        <v>157</v>
      </c>
      <c r="E40" s="6" t="s">
        <v>416</v>
      </c>
      <c r="F40" s="6" t="s">
        <v>417</v>
      </c>
      <c r="G40" s="7" t="s">
        <v>29</v>
      </c>
      <c r="H40" s="6" t="s">
        <v>160</v>
      </c>
      <c r="I40" s="6" t="s">
        <v>418</v>
      </c>
      <c r="J40" s="6" t="s">
        <v>419</v>
      </c>
      <c r="K40" s="6" t="s">
        <v>420</v>
      </c>
      <c r="L40" s="6" t="s">
        <v>421</v>
      </c>
      <c r="M40" s="6" t="s">
        <v>422</v>
      </c>
      <c r="N40" s="6" t="s">
        <v>423</v>
      </c>
      <c r="O40" s="6" t="s">
        <v>37</v>
      </c>
    </row>
    <row r="41" customFormat="false" ht="45.75" hidden="false" customHeight="true" outlineLevel="0" collapsed="false">
      <c r="A41" s="5" t="s">
        <v>424</v>
      </c>
      <c r="B41" s="6" t="s">
        <v>251</v>
      </c>
      <c r="C41" s="6" t="s">
        <v>25</v>
      </c>
      <c r="D41" s="6" t="s">
        <v>425</v>
      </c>
      <c r="E41" s="6" t="s">
        <v>426</v>
      </c>
      <c r="F41" s="6" t="s">
        <v>427</v>
      </c>
      <c r="G41" s="8" t="s">
        <v>52</v>
      </c>
      <c r="H41" s="6" t="s">
        <v>428</v>
      </c>
      <c r="I41" s="6" t="s">
        <v>429</v>
      </c>
      <c r="J41" s="6" t="s">
        <v>430</v>
      </c>
      <c r="K41" s="6" t="s">
        <v>431</v>
      </c>
      <c r="L41" s="6" t="s">
        <v>432</v>
      </c>
      <c r="M41" s="6" t="s">
        <v>433</v>
      </c>
      <c r="N41" s="6" t="s">
        <v>423</v>
      </c>
      <c r="O41" s="6" t="s">
        <v>37</v>
      </c>
    </row>
    <row r="42" customFormat="false" ht="57" hidden="false" customHeight="true" outlineLevel="0" collapsed="false">
      <c r="A42" s="5" t="s">
        <v>434</v>
      </c>
      <c r="B42" s="6" t="s">
        <v>251</v>
      </c>
      <c r="C42" s="6" t="s">
        <v>25</v>
      </c>
      <c r="D42" s="6" t="s">
        <v>435</v>
      </c>
      <c r="E42" s="6" t="s">
        <v>436</v>
      </c>
      <c r="F42" s="6" t="s">
        <v>437</v>
      </c>
      <c r="G42" s="7" t="s">
        <v>29</v>
      </c>
      <c r="H42" s="6" t="s">
        <v>361</v>
      </c>
      <c r="I42" s="6" t="s">
        <v>438</v>
      </c>
      <c r="J42" s="6" t="s">
        <v>439</v>
      </c>
      <c r="K42" s="6" t="s">
        <v>440</v>
      </c>
      <c r="L42" s="6" t="s">
        <v>441</v>
      </c>
      <c r="M42" s="6" t="s">
        <v>442</v>
      </c>
      <c r="N42" s="6" t="s">
        <v>443</v>
      </c>
      <c r="O42" s="6" t="s">
        <v>444</v>
      </c>
    </row>
    <row r="43" customFormat="false" ht="79.5" hidden="false" customHeight="true" outlineLevel="0" collapsed="false">
      <c r="A43" s="5" t="s">
        <v>445</v>
      </c>
      <c r="B43" s="6" t="s">
        <v>251</v>
      </c>
      <c r="C43" s="6" t="s">
        <v>25</v>
      </c>
      <c r="D43" s="6" t="s">
        <v>446</v>
      </c>
      <c r="E43" s="6" t="s">
        <v>447</v>
      </c>
      <c r="F43" s="6" t="s">
        <v>448</v>
      </c>
      <c r="G43" s="7" t="s">
        <v>29</v>
      </c>
      <c r="H43" s="6" t="s">
        <v>449</v>
      </c>
      <c r="I43" s="6" t="s">
        <v>450</v>
      </c>
      <c r="J43" s="6" t="s">
        <v>451</v>
      </c>
      <c r="K43" s="6" t="s">
        <v>452</v>
      </c>
      <c r="L43" s="6" t="s">
        <v>453</v>
      </c>
      <c r="M43" s="6" t="s">
        <v>454</v>
      </c>
      <c r="N43" s="6" t="s">
        <v>455</v>
      </c>
      <c r="O43" s="6" t="s">
        <v>37</v>
      </c>
    </row>
    <row r="44" customFormat="false" ht="79.5" hidden="false" customHeight="true" outlineLevel="0" collapsed="false">
      <c r="A44" s="5" t="s">
        <v>456</v>
      </c>
      <c r="B44" s="6" t="s">
        <v>251</v>
      </c>
      <c r="C44" s="6" t="s">
        <v>25</v>
      </c>
      <c r="D44" s="6" t="s">
        <v>457</v>
      </c>
      <c r="E44" s="6" t="s">
        <v>458</v>
      </c>
      <c r="F44" s="6" t="s">
        <v>459</v>
      </c>
      <c r="G44" s="7" t="s">
        <v>29</v>
      </c>
      <c r="H44" s="6" t="s">
        <v>460</v>
      </c>
      <c r="I44" s="6" t="s">
        <v>461</v>
      </c>
      <c r="J44" s="6" t="s">
        <v>462</v>
      </c>
      <c r="K44" s="6" t="s">
        <v>463</v>
      </c>
      <c r="L44" s="6" t="s">
        <v>464</v>
      </c>
      <c r="M44" s="6" t="s">
        <v>465</v>
      </c>
      <c r="N44" s="6" t="s">
        <v>455</v>
      </c>
      <c r="O44" s="6" t="s">
        <v>37</v>
      </c>
    </row>
    <row r="45" customFormat="false" ht="90.75" hidden="false" customHeight="true" outlineLevel="0" collapsed="false">
      <c r="A45" s="5" t="s">
        <v>466</v>
      </c>
      <c r="B45" s="6" t="s">
        <v>251</v>
      </c>
      <c r="C45" s="6" t="s">
        <v>25</v>
      </c>
      <c r="D45" s="6" t="s">
        <v>457</v>
      </c>
      <c r="E45" s="6" t="s">
        <v>467</v>
      </c>
      <c r="F45" s="6" t="s">
        <v>468</v>
      </c>
      <c r="G45" s="9" t="s">
        <v>73</v>
      </c>
      <c r="H45" s="6" t="s">
        <v>460</v>
      </c>
      <c r="I45" s="6" t="s">
        <v>469</v>
      </c>
      <c r="J45" s="6" t="s">
        <v>470</v>
      </c>
      <c r="K45" s="6" t="s">
        <v>471</v>
      </c>
      <c r="L45" s="6" t="s">
        <v>472</v>
      </c>
      <c r="M45" s="6" t="s">
        <v>473</v>
      </c>
      <c r="N45" s="6" t="s">
        <v>455</v>
      </c>
      <c r="O45" s="6" t="s">
        <v>37</v>
      </c>
    </row>
    <row r="46" customFormat="false" ht="45.75" hidden="false" customHeight="true" outlineLevel="0" collapsed="false">
      <c r="A46" s="5" t="s">
        <v>474</v>
      </c>
      <c r="B46" s="6" t="s">
        <v>251</v>
      </c>
      <c r="C46" s="6" t="s">
        <v>25</v>
      </c>
      <c r="D46" s="6" t="s">
        <v>475</v>
      </c>
      <c r="E46" s="6" t="s">
        <v>476</v>
      </c>
      <c r="F46" s="6" t="s">
        <v>477</v>
      </c>
      <c r="G46" s="9" t="s">
        <v>73</v>
      </c>
      <c r="H46" s="6" t="s">
        <v>478</v>
      </c>
      <c r="I46" s="6" t="s">
        <v>479</v>
      </c>
      <c r="J46" s="6" t="s">
        <v>480</v>
      </c>
      <c r="K46" s="6" t="s">
        <v>481</v>
      </c>
      <c r="L46" s="6" t="s">
        <v>482</v>
      </c>
      <c r="M46" s="6" t="s">
        <v>483</v>
      </c>
      <c r="N46" s="6" t="s">
        <v>484</v>
      </c>
      <c r="O46" s="6" t="s">
        <v>37</v>
      </c>
    </row>
    <row r="47" customFormat="false" ht="45.75" hidden="false" customHeight="true" outlineLevel="0" collapsed="false">
      <c r="A47" s="5" t="s">
        <v>485</v>
      </c>
      <c r="B47" s="6" t="s">
        <v>251</v>
      </c>
      <c r="C47" s="6" t="s">
        <v>25</v>
      </c>
      <c r="D47" s="6" t="s">
        <v>475</v>
      </c>
      <c r="E47" s="6" t="s">
        <v>486</v>
      </c>
      <c r="F47" s="6" t="s">
        <v>477</v>
      </c>
      <c r="G47" s="9" t="s">
        <v>73</v>
      </c>
      <c r="H47" s="6" t="s">
        <v>478</v>
      </c>
      <c r="I47" s="6" t="s">
        <v>487</v>
      </c>
      <c r="J47" s="6" t="s">
        <v>488</v>
      </c>
      <c r="K47" s="6" t="s">
        <v>489</v>
      </c>
      <c r="L47" s="6" t="s">
        <v>490</v>
      </c>
      <c r="M47" s="6" t="s">
        <v>491</v>
      </c>
      <c r="N47" s="6" t="s">
        <v>492</v>
      </c>
      <c r="O47" s="6" t="s">
        <v>37</v>
      </c>
    </row>
    <row r="48" customFormat="false" ht="90.75" hidden="false" customHeight="true" outlineLevel="0" collapsed="false">
      <c r="A48" s="5" t="s">
        <v>493</v>
      </c>
      <c r="B48" s="6" t="s">
        <v>494</v>
      </c>
      <c r="C48" s="6" t="s">
        <v>25</v>
      </c>
      <c r="D48" s="6" t="s">
        <v>495</v>
      </c>
      <c r="E48" s="6" t="s">
        <v>496</v>
      </c>
      <c r="F48" s="6" t="s">
        <v>497</v>
      </c>
      <c r="G48" s="7" t="s">
        <v>29</v>
      </c>
      <c r="H48" s="6" t="s">
        <v>498</v>
      </c>
      <c r="I48" s="6" t="s">
        <v>499</v>
      </c>
      <c r="J48" s="6" t="s">
        <v>500</v>
      </c>
      <c r="K48" s="6" t="s">
        <v>501</v>
      </c>
      <c r="L48" s="6" t="s">
        <v>502</v>
      </c>
      <c r="M48" s="6" t="s">
        <v>503</v>
      </c>
      <c r="N48" s="6" t="s">
        <v>504</v>
      </c>
      <c r="O48" s="6" t="s">
        <v>37</v>
      </c>
    </row>
    <row r="49" customFormat="false" ht="168.75" hidden="false" customHeight="true" outlineLevel="0" collapsed="false">
      <c r="A49" s="5" t="s">
        <v>505</v>
      </c>
      <c r="B49" s="6" t="s">
        <v>494</v>
      </c>
      <c r="C49" s="6" t="s">
        <v>25</v>
      </c>
      <c r="D49" s="6" t="s">
        <v>506</v>
      </c>
      <c r="E49" s="6" t="s">
        <v>507</v>
      </c>
      <c r="F49" s="6" t="s">
        <v>508</v>
      </c>
      <c r="G49" s="7" t="s">
        <v>29</v>
      </c>
      <c r="H49" s="6" t="s">
        <v>509</v>
      </c>
      <c r="I49" s="6" t="s">
        <v>510</v>
      </c>
      <c r="J49" s="6" t="s">
        <v>511</v>
      </c>
      <c r="K49" s="6" t="s">
        <v>512</v>
      </c>
      <c r="L49" s="6" t="s">
        <v>513</v>
      </c>
      <c r="M49" s="6" t="s">
        <v>514</v>
      </c>
      <c r="N49" s="6" t="s">
        <v>515</v>
      </c>
      <c r="O49" s="6" t="s">
        <v>37</v>
      </c>
    </row>
    <row r="50" customFormat="false" ht="102.2" hidden="false" customHeight="false" outlineLevel="0" collapsed="false">
      <c r="A50" s="5" t="s">
        <v>516</v>
      </c>
      <c r="B50" s="6" t="s">
        <v>517</v>
      </c>
      <c r="C50" s="6" t="s">
        <v>25</v>
      </c>
      <c r="D50" s="6" t="s">
        <v>506</v>
      </c>
      <c r="E50" s="6" t="s">
        <v>518</v>
      </c>
      <c r="F50" s="6" t="s">
        <v>519</v>
      </c>
      <c r="G50" s="7" t="s">
        <v>29</v>
      </c>
      <c r="H50" s="6" t="s">
        <v>520</v>
      </c>
      <c r="I50" s="6" t="s">
        <v>521</v>
      </c>
      <c r="J50" s="6" t="s">
        <v>522</v>
      </c>
      <c r="K50" s="6" t="s">
        <v>523</v>
      </c>
      <c r="L50" s="6" t="s">
        <v>524</v>
      </c>
      <c r="M50" s="6" t="s">
        <v>525</v>
      </c>
      <c r="N50" s="6" t="s">
        <v>526</v>
      </c>
      <c r="O50" s="6" t="s">
        <v>37</v>
      </c>
    </row>
    <row r="51" customFormat="false" ht="37.5" hidden="false" customHeight="true" outlineLevel="0" collapsed="false">
      <c r="A51" s="5" t="s">
        <v>527</v>
      </c>
      <c r="B51" s="6" t="s">
        <v>528</v>
      </c>
      <c r="C51" s="6" t="s">
        <v>529</v>
      </c>
      <c r="D51" s="6" t="s">
        <v>530</v>
      </c>
      <c r="E51" s="6" t="s">
        <v>531</v>
      </c>
      <c r="F51" s="6" t="s">
        <v>532</v>
      </c>
      <c r="G51" s="8" t="s">
        <v>52</v>
      </c>
      <c r="H51" s="6" t="s">
        <v>533</v>
      </c>
      <c r="I51" s="6" t="s">
        <v>534</v>
      </c>
      <c r="J51" s="6" t="s">
        <v>535</v>
      </c>
      <c r="K51" s="6" t="s">
        <v>536</v>
      </c>
      <c r="L51" s="6" t="s">
        <v>537</v>
      </c>
      <c r="M51" s="6" t="s">
        <v>538</v>
      </c>
      <c r="N51" s="6" t="s">
        <v>539</v>
      </c>
      <c r="O51" s="6" t="s">
        <v>37</v>
      </c>
    </row>
    <row r="52" customFormat="false" ht="45.75" hidden="false" customHeight="true" outlineLevel="0" collapsed="false">
      <c r="A52" s="5" t="s">
        <v>540</v>
      </c>
      <c r="B52" s="6" t="s">
        <v>528</v>
      </c>
      <c r="C52" s="6" t="s">
        <v>541</v>
      </c>
      <c r="D52" s="6" t="s">
        <v>542</v>
      </c>
      <c r="E52" s="6" t="s">
        <v>543</v>
      </c>
      <c r="F52" s="6" t="s">
        <v>544</v>
      </c>
      <c r="G52" s="7" t="s">
        <v>29</v>
      </c>
      <c r="H52" s="6" t="s">
        <v>533</v>
      </c>
      <c r="I52" s="6" t="s">
        <v>545</v>
      </c>
      <c r="J52" s="6" t="s">
        <v>546</v>
      </c>
      <c r="K52" s="6" t="s">
        <v>547</v>
      </c>
      <c r="L52" s="6" t="s">
        <v>548</v>
      </c>
      <c r="M52" s="6" t="s">
        <v>549</v>
      </c>
      <c r="N52" s="6" t="s">
        <v>539</v>
      </c>
      <c r="O52" s="6" t="s">
        <v>37</v>
      </c>
    </row>
    <row r="53" customFormat="false" ht="34.5" hidden="false" customHeight="true" outlineLevel="0" collapsed="false">
      <c r="A53" s="5" t="s">
        <v>550</v>
      </c>
      <c r="B53" s="6" t="s">
        <v>528</v>
      </c>
      <c r="C53" s="6" t="s">
        <v>541</v>
      </c>
      <c r="D53" s="6" t="s">
        <v>551</v>
      </c>
      <c r="E53" s="6" t="s">
        <v>552</v>
      </c>
      <c r="F53" s="6" t="s">
        <v>553</v>
      </c>
      <c r="G53" s="8" t="s">
        <v>52</v>
      </c>
      <c r="H53" s="6" t="s">
        <v>533</v>
      </c>
      <c r="I53" s="6" t="s">
        <v>554</v>
      </c>
      <c r="J53" s="6" t="s">
        <v>555</v>
      </c>
      <c r="K53" s="6" t="s">
        <v>556</v>
      </c>
      <c r="L53" s="6" t="s">
        <v>557</v>
      </c>
      <c r="M53" s="6" t="s">
        <v>558</v>
      </c>
      <c r="N53" s="6" t="s">
        <v>559</v>
      </c>
      <c r="O53" s="6" t="s">
        <v>37</v>
      </c>
    </row>
    <row r="54" customFormat="false" ht="34.5" hidden="false" customHeight="true" outlineLevel="0" collapsed="false">
      <c r="A54" s="5" t="s">
        <v>560</v>
      </c>
      <c r="B54" s="6" t="s">
        <v>528</v>
      </c>
      <c r="C54" s="6" t="s">
        <v>541</v>
      </c>
      <c r="D54" s="6" t="s">
        <v>146</v>
      </c>
      <c r="E54" s="6" t="s">
        <v>561</v>
      </c>
      <c r="F54" s="6" t="s">
        <v>562</v>
      </c>
      <c r="G54" s="8" t="s">
        <v>52</v>
      </c>
      <c r="H54" s="6" t="s">
        <v>563</v>
      </c>
      <c r="I54" s="6" t="s">
        <v>564</v>
      </c>
      <c r="J54" s="6" t="s">
        <v>565</v>
      </c>
      <c r="K54" s="6" t="s">
        <v>566</v>
      </c>
      <c r="L54" s="6" t="s">
        <v>567</v>
      </c>
      <c r="M54" s="6" t="s">
        <v>568</v>
      </c>
      <c r="N54" s="6" t="s">
        <v>569</v>
      </c>
      <c r="O54" s="6" t="s">
        <v>37</v>
      </c>
    </row>
    <row r="55" customFormat="false" ht="45.75" hidden="false" customHeight="true" outlineLevel="0" collapsed="false">
      <c r="A55" s="5" t="s">
        <v>570</v>
      </c>
      <c r="B55" s="6" t="s">
        <v>528</v>
      </c>
      <c r="C55" s="6" t="s">
        <v>541</v>
      </c>
      <c r="D55" s="6" t="s">
        <v>571</v>
      </c>
      <c r="E55" s="6" t="s">
        <v>572</v>
      </c>
      <c r="F55" s="6" t="s">
        <v>562</v>
      </c>
      <c r="G55" s="8" t="s">
        <v>52</v>
      </c>
      <c r="H55" s="6" t="s">
        <v>563</v>
      </c>
      <c r="I55" s="6" t="s">
        <v>573</v>
      </c>
      <c r="J55" s="6" t="s">
        <v>574</v>
      </c>
      <c r="K55" s="6" t="s">
        <v>575</v>
      </c>
      <c r="L55" s="6" t="s">
        <v>576</v>
      </c>
      <c r="M55" s="6" t="s">
        <v>577</v>
      </c>
      <c r="N55" s="6" t="s">
        <v>569</v>
      </c>
      <c r="O55" s="6" t="s">
        <v>37</v>
      </c>
    </row>
    <row r="56" customFormat="false" ht="68.25" hidden="false" customHeight="true" outlineLevel="0" collapsed="false">
      <c r="A56" s="5" t="s">
        <v>578</v>
      </c>
      <c r="B56" s="6" t="s">
        <v>528</v>
      </c>
      <c r="C56" s="6" t="s">
        <v>541</v>
      </c>
      <c r="D56" s="6" t="s">
        <v>579</v>
      </c>
      <c r="E56" s="6" t="s">
        <v>580</v>
      </c>
      <c r="F56" s="6" t="s">
        <v>581</v>
      </c>
      <c r="G56" s="7" t="s">
        <v>29</v>
      </c>
      <c r="H56" s="6" t="s">
        <v>563</v>
      </c>
      <c r="I56" s="6" t="s">
        <v>582</v>
      </c>
      <c r="J56" s="6" t="s">
        <v>583</v>
      </c>
      <c r="K56" s="6" t="s">
        <v>584</v>
      </c>
      <c r="L56" s="6" t="s">
        <v>585</v>
      </c>
      <c r="M56" s="6" t="s">
        <v>586</v>
      </c>
      <c r="N56" s="6" t="s">
        <v>569</v>
      </c>
      <c r="O56" s="6" t="s">
        <v>37</v>
      </c>
    </row>
    <row r="57" customFormat="false" ht="68.25" hidden="false" customHeight="true" outlineLevel="0" collapsed="false">
      <c r="A57" s="5" t="s">
        <v>587</v>
      </c>
      <c r="B57" s="6" t="s">
        <v>528</v>
      </c>
      <c r="C57" s="6" t="s">
        <v>541</v>
      </c>
      <c r="D57" s="6" t="s">
        <v>80</v>
      </c>
      <c r="E57" s="6" t="s">
        <v>588</v>
      </c>
      <c r="F57" s="6" t="s">
        <v>562</v>
      </c>
      <c r="G57" s="8" t="s">
        <v>52</v>
      </c>
      <c r="H57" s="6" t="s">
        <v>563</v>
      </c>
      <c r="I57" s="6" t="s">
        <v>589</v>
      </c>
      <c r="J57" s="6" t="s">
        <v>590</v>
      </c>
      <c r="K57" s="6" t="s">
        <v>591</v>
      </c>
      <c r="L57" s="6" t="s">
        <v>592</v>
      </c>
      <c r="M57" s="6" t="s">
        <v>593</v>
      </c>
      <c r="N57" s="6" t="s">
        <v>569</v>
      </c>
      <c r="O57" s="6" t="s">
        <v>37</v>
      </c>
    </row>
    <row r="58" customFormat="false" ht="45.75" hidden="false" customHeight="true" outlineLevel="0" collapsed="false">
      <c r="A58" s="5" t="s">
        <v>594</v>
      </c>
      <c r="B58" s="6" t="s">
        <v>528</v>
      </c>
      <c r="C58" s="6" t="s">
        <v>541</v>
      </c>
      <c r="D58" s="6" t="s">
        <v>595</v>
      </c>
      <c r="E58" s="6" t="s">
        <v>596</v>
      </c>
      <c r="F58" s="6" t="s">
        <v>597</v>
      </c>
      <c r="G58" s="9" t="s">
        <v>73</v>
      </c>
      <c r="H58" s="6" t="s">
        <v>372</v>
      </c>
      <c r="I58" s="6" t="s">
        <v>598</v>
      </c>
      <c r="J58" s="6" t="s">
        <v>599</v>
      </c>
      <c r="K58" s="6" t="s">
        <v>600</v>
      </c>
      <c r="L58" s="6" t="s">
        <v>601</v>
      </c>
      <c r="M58" s="6" t="s">
        <v>602</v>
      </c>
      <c r="N58" s="6" t="s">
        <v>603</v>
      </c>
      <c r="O58" s="6" t="s">
        <v>37</v>
      </c>
    </row>
    <row r="59" customFormat="false" ht="57" hidden="false" customHeight="true" outlineLevel="0" collapsed="false">
      <c r="A59" s="5" t="s">
        <v>604</v>
      </c>
      <c r="B59" s="6" t="s">
        <v>528</v>
      </c>
      <c r="C59" s="6" t="s">
        <v>541</v>
      </c>
      <c r="D59" s="6" t="s">
        <v>605</v>
      </c>
      <c r="E59" s="6" t="s">
        <v>606</v>
      </c>
      <c r="F59" s="6" t="s">
        <v>607</v>
      </c>
      <c r="G59" s="9" t="s">
        <v>73</v>
      </c>
      <c r="H59" s="6" t="s">
        <v>608</v>
      </c>
      <c r="I59" s="6" t="s">
        <v>609</v>
      </c>
      <c r="J59" s="6" t="s">
        <v>610</v>
      </c>
      <c r="K59" s="6" t="s">
        <v>611</v>
      </c>
      <c r="L59" s="6" t="s">
        <v>612</v>
      </c>
      <c r="M59" s="6" t="s">
        <v>613</v>
      </c>
      <c r="N59" s="6" t="s">
        <v>603</v>
      </c>
      <c r="O59" s="6" t="s">
        <v>37</v>
      </c>
    </row>
    <row r="60" customFormat="false" ht="45.75" hidden="false" customHeight="true" outlineLevel="0" collapsed="false">
      <c r="A60" s="5" t="s">
        <v>614</v>
      </c>
      <c r="B60" s="6" t="s">
        <v>528</v>
      </c>
      <c r="C60" s="6" t="s">
        <v>541</v>
      </c>
      <c r="D60" s="6" t="s">
        <v>615</v>
      </c>
      <c r="E60" s="6" t="s">
        <v>616</v>
      </c>
      <c r="F60" s="6" t="s">
        <v>617</v>
      </c>
      <c r="G60" s="9" t="s">
        <v>73</v>
      </c>
      <c r="H60" s="6" t="s">
        <v>53</v>
      </c>
      <c r="I60" s="6" t="s">
        <v>618</v>
      </c>
      <c r="J60" s="6" t="s">
        <v>619</v>
      </c>
      <c r="K60" s="6" t="s">
        <v>620</v>
      </c>
      <c r="L60" s="6" t="s">
        <v>621</v>
      </c>
      <c r="M60" s="6" t="s">
        <v>622</v>
      </c>
      <c r="N60" s="6" t="s">
        <v>623</v>
      </c>
      <c r="O60" s="6" t="s">
        <v>37</v>
      </c>
    </row>
    <row r="61" customFormat="false" ht="57" hidden="false" customHeight="true" outlineLevel="0" collapsed="false">
      <c r="A61" s="5" t="s">
        <v>624</v>
      </c>
      <c r="B61" s="6" t="s">
        <v>528</v>
      </c>
      <c r="C61" s="6" t="s">
        <v>541</v>
      </c>
      <c r="D61" s="6" t="s">
        <v>615</v>
      </c>
      <c r="E61" s="6" t="s">
        <v>625</v>
      </c>
      <c r="F61" s="6" t="s">
        <v>28</v>
      </c>
      <c r="G61" s="7" t="s">
        <v>29</v>
      </c>
      <c r="H61" s="6" t="s">
        <v>30</v>
      </c>
      <c r="I61" s="6" t="s">
        <v>626</v>
      </c>
      <c r="J61" s="6" t="s">
        <v>627</v>
      </c>
      <c r="K61" s="6" t="s">
        <v>628</v>
      </c>
      <c r="L61" s="6" t="s">
        <v>629</v>
      </c>
      <c r="M61" s="6" t="s">
        <v>630</v>
      </c>
      <c r="N61" s="6" t="s">
        <v>623</v>
      </c>
      <c r="O61" s="6" t="s">
        <v>37</v>
      </c>
    </row>
    <row r="62" customFormat="false" ht="68.25" hidden="false" customHeight="true" outlineLevel="0" collapsed="false">
      <c r="A62" s="5" t="s">
        <v>631</v>
      </c>
      <c r="B62" s="6" t="s">
        <v>528</v>
      </c>
      <c r="C62" s="6" t="s">
        <v>541</v>
      </c>
      <c r="D62" s="6" t="s">
        <v>632</v>
      </c>
      <c r="E62" s="6" t="s">
        <v>633</v>
      </c>
      <c r="F62" s="6" t="s">
        <v>634</v>
      </c>
      <c r="G62" s="9" t="s">
        <v>73</v>
      </c>
      <c r="H62" s="6" t="s">
        <v>533</v>
      </c>
      <c r="I62" s="6" t="s">
        <v>635</v>
      </c>
      <c r="J62" s="6" t="s">
        <v>636</v>
      </c>
      <c r="K62" s="6" t="s">
        <v>637</v>
      </c>
      <c r="L62" s="6" t="s">
        <v>638</v>
      </c>
      <c r="M62" s="6" t="s">
        <v>639</v>
      </c>
      <c r="N62" s="6" t="s">
        <v>603</v>
      </c>
      <c r="O62" s="6" t="s">
        <v>37</v>
      </c>
    </row>
    <row r="63" customFormat="false" ht="74.25" hidden="false" customHeight="true" outlineLevel="0" collapsed="false">
      <c r="A63" s="5" t="s">
        <v>640</v>
      </c>
      <c r="B63" s="6" t="s">
        <v>528</v>
      </c>
      <c r="C63" s="6" t="s">
        <v>541</v>
      </c>
      <c r="D63" s="6" t="s">
        <v>641</v>
      </c>
      <c r="E63" s="6" t="s">
        <v>642</v>
      </c>
      <c r="F63" s="6" t="s">
        <v>643</v>
      </c>
      <c r="G63" s="9" t="s">
        <v>73</v>
      </c>
      <c r="H63" s="6" t="s">
        <v>644</v>
      </c>
      <c r="I63" s="6" t="s">
        <v>645</v>
      </c>
      <c r="J63" s="6" t="s">
        <v>646</v>
      </c>
      <c r="K63" s="6" t="s">
        <v>647</v>
      </c>
      <c r="L63" s="6" t="s">
        <v>648</v>
      </c>
      <c r="M63" s="6" t="s">
        <v>649</v>
      </c>
      <c r="N63" s="6" t="s">
        <v>650</v>
      </c>
      <c r="O63" s="6" t="s">
        <v>37</v>
      </c>
    </row>
    <row r="64" customFormat="false" ht="34.5" hidden="false" customHeight="true" outlineLevel="0" collapsed="false">
      <c r="A64" s="5" t="s">
        <v>651</v>
      </c>
      <c r="B64" s="6" t="s">
        <v>528</v>
      </c>
      <c r="C64" s="6" t="s">
        <v>541</v>
      </c>
      <c r="D64" s="6" t="s">
        <v>338</v>
      </c>
      <c r="E64" s="6" t="s">
        <v>652</v>
      </c>
      <c r="F64" s="6" t="s">
        <v>211</v>
      </c>
      <c r="G64" s="8" t="s">
        <v>52</v>
      </c>
      <c r="H64" s="6" t="s">
        <v>149</v>
      </c>
      <c r="I64" s="6" t="s">
        <v>653</v>
      </c>
      <c r="J64" s="6" t="s">
        <v>654</v>
      </c>
      <c r="K64" s="6" t="s">
        <v>655</v>
      </c>
      <c r="L64" s="6" t="s">
        <v>656</v>
      </c>
      <c r="M64" s="6" t="s">
        <v>657</v>
      </c>
      <c r="N64" s="6" t="s">
        <v>658</v>
      </c>
      <c r="O64" s="6" t="s">
        <v>37</v>
      </c>
    </row>
    <row r="65" customFormat="false" ht="57" hidden="false" customHeight="true" outlineLevel="0" collapsed="false">
      <c r="A65" s="5" t="s">
        <v>659</v>
      </c>
      <c r="B65" s="6" t="s">
        <v>528</v>
      </c>
      <c r="C65" s="6" t="s">
        <v>529</v>
      </c>
      <c r="D65" s="6" t="s">
        <v>146</v>
      </c>
      <c r="E65" s="6" t="s">
        <v>660</v>
      </c>
      <c r="F65" s="6" t="s">
        <v>661</v>
      </c>
      <c r="G65" s="8" t="s">
        <v>52</v>
      </c>
      <c r="H65" s="6" t="s">
        <v>149</v>
      </c>
      <c r="I65" s="6" t="s">
        <v>662</v>
      </c>
      <c r="J65" s="6" t="s">
        <v>663</v>
      </c>
      <c r="K65" s="6" t="s">
        <v>664</v>
      </c>
      <c r="L65" s="6" t="s">
        <v>621</v>
      </c>
      <c r="M65" s="6" t="s">
        <v>665</v>
      </c>
      <c r="N65" s="6" t="s">
        <v>666</v>
      </c>
      <c r="O65" s="6" t="s">
        <v>37</v>
      </c>
    </row>
    <row r="66" customFormat="false" ht="68.25" hidden="false" customHeight="true" outlineLevel="0" collapsed="false">
      <c r="A66" s="5" t="s">
        <v>667</v>
      </c>
      <c r="B66" s="6" t="s">
        <v>528</v>
      </c>
      <c r="C66" s="6" t="s">
        <v>541</v>
      </c>
      <c r="D66" s="6" t="s">
        <v>306</v>
      </c>
      <c r="E66" s="6" t="s">
        <v>307</v>
      </c>
      <c r="F66" s="6" t="s">
        <v>668</v>
      </c>
      <c r="G66" s="9" t="s">
        <v>73</v>
      </c>
      <c r="H66" s="6" t="s">
        <v>309</v>
      </c>
      <c r="I66" s="6" t="s">
        <v>669</v>
      </c>
      <c r="J66" s="6" t="s">
        <v>670</v>
      </c>
      <c r="K66" s="6" t="s">
        <v>671</v>
      </c>
      <c r="L66" s="6" t="s">
        <v>672</v>
      </c>
      <c r="M66" s="6" t="s">
        <v>673</v>
      </c>
      <c r="N66" s="6" t="s">
        <v>674</v>
      </c>
      <c r="O66" s="6" t="s">
        <v>37</v>
      </c>
    </row>
    <row r="67" customFormat="false" ht="68.25" hidden="false" customHeight="true" outlineLevel="0" collapsed="false">
      <c r="A67" s="5" t="s">
        <v>675</v>
      </c>
      <c r="B67" s="6" t="s">
        <v>528</v>
      </c>
      <c r="C67" s="6" t="s">
        <v>541</v>
      </c>
      <c r="D67" s="6" t="s">
        <v>435</v>
      </c>
      <c r="E67" s="6" t="s">
        <v>676</v>
      </c>
      <c r="F67" s="6" t="s">
        <v>677</v>
      </c>
      <c r="G67" s="8" t="s">
        <v>52</v>
      </c>
      <c r="H67" s="6" t="s">
        <v>361</v>
      </c>
      <c r="I67" s="6" t="s">
        <v>678</v>
      </c>
      <c r="J67" s="6" t="s">
        <v>679</v>
      </c>
      <c r="K67" s="6" t="s">
        <v>680</v>
      </c>
      <c r="L67" s="6" t="s">
        <v>681</v>
      </c>
      <c r="M67" s="6" t="s">
        <v>682</v>
      </c>
      <c r="N67" s="6" t="s">
        <v>683</v>
      </c>
      <c r="O67" s="6" t="s">
        <v>37</v>
      </c>
    </row>
    <row r="68" customFormat="false" ht="45.75" hidden="false" customHeight="true" outlineLevel="0" collapsed="false">
      <c r="A68" s="5" t="s">
        <v>684</v>
      </c>
      <c r="B68" s="6" t="s">
        <v>528</v>
      </c>
      <c r="C68" s="6" t="s">
        <v>541</v>
      </c>
      <c r="D68" s="6" t="s">
        <v>685</v>
      </c>
      <c r="E68" s="6" t="s">
        <v>686</v>
      </c>
      <c r="F68" s="6" t="s">
        <v>687</v>
      </c>
      <c r="G68" s="8" t="s">
        <v>52</v>
      </c>
      <c r="H68" s="6" t="s">
        <v>563</v>
      </c>
      <c r="I68" s="6" t="s">
        <v>688</v>
      </c>
      <c r="J68" s="6" t="s">
        <v>689</v>
      </c>
      <c r="K68" s="6" t="s">
        <v>690</v>
      </c>
      <c r="L68" s="6" t="s">
        <v>691</v>
      </c>
      <c r="M68" s="6" t="s">
        <v>692</v>
      </c>
      <c r="N68" s="6" t="s">
        <v>683</v>
      </c>
      <c r="O68" s="6" t="s">
        <v>37</v>
      </c>
    </row>
    <row r="69" customFormat="false" ht="57" hidden="false" customHeight="true" outlineLevel="0" collapsed="false">
      <c r="A69" s="5" t="s">
        <v>693</v>
      </c>
      <c r="B69" s="6" t="s">
        <v>528</v>
      </c>
      <c r="C69" s="6" t="s">
        <v>541</v>
      </c>
      <c r="D69" s="6" t="s">
        <v>694</v>
      </c>
      <c r="E69" s="6" t="s">
        <v>695</v>
      </c>
      <c r="F69" s="6" t="s">
        <v>696</v>
      </c>
      <c r="G69" s="7" t="s">
        <v>29</v>
      </c>
      <c r="H69" s="6" t="s">
        <v>697</v>
      </c>
      <c r="I69" s="6" t="s">
        <v>698</v>
      </c>
      <c r="J69" s="6" t="s">
        <v>699</v>
      </c>
      <c r="K69" s="6" t="s">
        <v>700</v>
      </c>
      <c r="L69" s="6" t="s">
        <v>701</v>
      </c>
      <c r="M69" s="6" t="s">
        <v>702</v>
      </c>
      <c r="N69" s="6" t="s">
        <v>703</v>
      </c>
      <c r="O69" s="6" t="s">
        <v>37</v>
      </c>
    </row>
    <row r="70" customFormat="false" ht="45.75" hidden="false" customHeight="true" outlineLevel="0" collapsed="false">
      <c r="A70" s="5" t="s">
        <v>704</v>
      </c>
      <c r="B70" s="6" t="s">
        <v>528</v>
      </c>
      <c r="C70" s="6" t="s">
        <v>541</v>
      </c>
      <c r="D70" s="6" t="s">
        <v>705</v>
      </c>
      <c r="E70" s="6" t="s">
        <v>706</v>
      </c>
      <c r="F70" s="6" t="s">
        <v>707</v>
      </c>
      <c r="G70" s="7" t="s">
        <v>29</v>
      </c>
      <c r="H70" s="6" t="s">
        <v>708</v>
      </c>
      <c r="I70" s="6" t="s">
        <v>709</v>
      </c>
      <c r="J70" s="6" t="s">
        <v>710</v>
      </c>
      <c r="K70" s="6" t="s">
        <v>711</v>
      </c>
      <c r="L70" s="6" t="s">
        <v>712</v>
      </c>
      <c r="M70" s="6" t="s">
        <v>713</v>
      </c>
      <c r="N70" s="6" t="s">
        <v>714</v>
      </c>
      <c r="O70" s="6" t="s">
        <v>37</v>
      </c>
    </row>
    <row r="71" customFormat="false" ht="57" hidden="false" customHeight="true" outlineLevel="0" collapsed="false">
      <c r="A71" s="5" t="s">
        <v>715</v>
      </c>
      <c r="B71" s="6" t="s">
        <v>528</v>
      </c>
      <c r="C71" s="6" t="s">
        <v>541</v>
      </c>
      <c r="D71" s="6" t="s">
        <v>716</v>
      </c>
      <c r="E71" s="6" t="s">
        <v>717</v>
      </c>
      <c r="F71" s="6" t="s">
        <v>718</v>
      </c>
      <c r="G71" s="8" t="s">
        <v>52</v>
      </c>
      <c r="H71" s="6" t="s">
        <v>719</v>
      </c>
      <c r="I71" s="6" t="s">
        <v>720</v>
      </c>
      <c r="J71" s="6" t="s">
        <v>721</v>
      </c>
      <c r="K71" s="6" t="s">
        <v>722</v>
      </c>
      <c r="L71" s="6" t="s">
        <v>723</v>
      </c>
      <c r="M71" s="6" t="s">
        <v>724</v>
      </c>
      <c r="N71" s="6" t="s">
        <v>725</v>
      </c>
      <c r="O71" s="6" t="s">
        <v>37</v>
      </c>
    </row>
    <row r="72" customFormat="false" ht="68.25" hidden="false" customHeight="true" outlineLevel="0" collapsed="false">
      <c r="A72" s="5" t="s">
        <v>726</v>
      </c>
      <c r="B72" s="6" t="s">
        <v>528</v>
      </c>
      <c r="C72" s="6" t="s">
        <v>541</v>
      </c>
      <c r="D72" s="6" t="s">
        <v>727</v>
      </c>
      <c r="E72" s="6" t="s">
        <v>728</v>
      </c>
      <c r="F72" s="6" t="s">
        <v>729</v>
      </c>
      <c r="G72" s="9" t="s">
        <v>73</v>
      </c>
      <c r="H72" s="6" t="s">
        <v>719</v>
      </c>
      <c r="I72" s="6" t="s">
        <v>730</v>
      </c>
      <c r="J72" s="6" t="s">
        <v>731</v>
      </c>
      <c r="K72" s="6" t="s">
        <v>732</v>
      </c>
      <c r="L72" s="6" t="s">
        <v>733</v>
      </c>
      <c r="M72" s="6" t="s">
        <v>734</v>
      </c>
      <c r="N72" s="6" t="s">
        <v>714</v>
      </c>
      <c r="O72" s="6" t="s">
        <v>37</v>
      </c>
    </row>
    <row r="73" customFormat="false" ht="74.25" hidden="false" customHeight="true" outlineLevel="0" collapsed="false">
      <c r="A73" s="5" t="s">
        <v>735</v>
      </c>
      <c r="B73" s="6" t="s">
        <v>528</v>
      </c>
      <c r="C73" s="6" t="s">
        <v>541</v>
      </c>
      <c r="D73" s="6" t="s">
        <v>295</v>
      </c>
      <c r="E73" s="6" t="s">
        <v>296</v>
      </c>
      <c r="F73" s="6" t="s">
        <v>297</v>
      </c>
      <c r="G73" s="7" t="s">
        <v>29</v>
      </c>
      <c r="H73" s="6" t="s">
        <v>298</v>
      </c>
      <c r="I73" s="6" t="s">
        <v>299</v>
      </c>
      <c r="J73" s="6" t="s">
        <v>300</v>
      </c>
      <c r="K73" s="6" t="s">
        <v>736</v>
      </c>
      <c r="L73" s="6" t="s">
        <v>737</v>
      </c>
      <c r="M73" s="6" t="s">
        <v>738</v>
      </c>
      <c r="N73" s="6" t="s">
        <v>714</v>
      </c>
      <c r="O73" s="6" t="s">
        <v>37</v>
      </c>
    </row>
    <row r="74" customFormat="false" ht="74.25" hidden="false" customHeight="true" outlineLevel="0" collapsed="false">
      <c r="A74" s="5" t="s">
        <v>739</v>
      </c>
      <c r="B74" s="6" t="s">
        <v>528</v>
      </c>
      <c r="C74" s="6" t="s">
        <v>541</v>
      </c>
      <c r="D74" s="6" t="s">
        <v>740</v>
      </c>
      <c r="E74" s="6" t="s">
        <v>741</v>
      </c>
      <c r="F74" s="6" t="s">
        <v>742</v>
      </c>
      <c r="G74" s="7" t="s">
        <v>29</v>
      </c>
      <c r="H74" s="6" t="s">
        <v>719</v>
      </c>
      <c r="I74" s="6" t="s">
        <v>743</v>
      </c>
      <c r="J74" s="6" t="s">
        <v>744</v>
      </c>
      <c r="K74" s="6" t="s">
        <v>745</v>
      </c>
      <c r="L74" s="6" t="s">
        <v>746</v>
      </c>
      <c r="M74" s="6" t="s">
        <v>747</v>
      </c>
      <c r="N74" s="6" t="s">
        <v>748</v>
      </c>
      <c r="O74" s="6" t="s">
        <v>37</v>
      </c>
    </row>
    <row r="75" customFormat="false" ht="57" hidden="false" customHeight="true" outlineLevel="0" collapsed="false">
      <c r="A75" s="5" t="s">
        <v>749</v>
      </c>
      <c r="B75" s="6" t="s">
        <v>528</v>
      </c>
      <c r="C75" s="6" t="s">
        <v>541</v>
      </c>
      <c r="D75" s="6" t="s">
        <v>435</v>
      </c>
      <c r="E75" s="6" t="s">
        <v>676</v>
      </c>
      <c r="F75" s="6" t="s">
        <v>750</v>
      </c>
      <c r="G75" s="7" t="s">
        <v>29</v>
      </c>
      <c r="H75" s="6" t="s">
        <v>361</v>
      </c>
      <c r="I75" s="6" t="s">
        <v>751</v>
      </c>
      <c r="J75" s="6" t="s">
        <v>752</v>
      </c>
      <c r="K75" s="6" t="s">
        <v>753</v>
      </c>
      <c r="L75" s="6" t="s">
        <v>754</v>
      </c>
      <c r="M75" s="6" t="s">
        <v>755</v>
      </c>
      <c r="N75" s="6" t="s">
        <v>756</v>
      </c>
      <c r="O75" s="6" t="s">
        <v>444</v>
      </c>
    </row>
    <row r="76" customFormat="false" ht="45.75" hidden="false" customHeight="true" outlineLevel="0" collapsed="false">
      <c r="A76" s="5" t="s">
        <v>757</v>
      </c>
      <c r="B76" s="6" t="s">
        <v>528</v>
      </c>
      <c r="C76" s="6" t="s">
        <v>541</v>
      </c>
      <c r="D76" s="6" t="s">
        <v>740</v>
      </c>
      <c r="E76" s="6" t="s">
        <v>758</v>
      </c>
      <c r="F76" s="6" t="s">
        <v>759</v>
      </c>
      <c r="G76" s="7" t="s">
        <v>29</v>
      </c>
      <c r="H76" s="6" t="s">
        <v>719</v>
      </c>
      <c r="I76" s="6" t="s">
        <v>760</v>
      </c>
      <c r="J76" s="6" t="s">
        <v>761</v>
      </c>
      <c r="K76" s="6" t="s">
        <v>762</v>
      </c>
      <c r="L76" s="6" t="s">
        <v>763</v>
      </c>
      <c r="M76" s="6" t="s">
        <v>764</v>
      </c>
      <c r="N76" s="6" t="s">
        <v>765</v>
      </c>
      <c r="O76" s="6" t="s">
        <v>37</v>
      </c>
    </row>
    <row r="77" customFormat="false" ht="57" hidden="false" customHeight="true" outlineLevel="0" collapsed="false">
      <c r="A77" s="5" t="s">
        <v>766</v>
      </c>
      <c r="B77" s="6" t="s">
        <v>528</v>
      </c>
      <c r="C77" s="6" t="s">
        <v>541</v>
      </c>
      <c r="D77" s="6" t="s">
        <v>767</v>
      </c>
      <c r="E77" s="6" t="s">
        <v>768</v>
      </c>
      <c r="F77" s="6" t="s">
        <v>769</v>
      </c>
      <c r="G77" s="8" t="s">
        <v>52</v>
      </c>
      <c r="H77" s="6" t="s">
        <v>770</v>
      </c>
      <c r="I77" s="6" t="s">
        <v>771</v>
      </c>
      <c r="J77" s="6" t="s">
        <v>772</v>
      </c>
      <c r="K77" s="6" t="s">
        <v>773</v>
      </c>
      <c r="L77" s="6" t="s">
        <v>774</v>
      </c>
      <c r="M77" s="6" t="s">
        <v>775</v>
      </c>
      <c r="N77" s="6" t="s">
        <v>776</v>
      </c>
      <c r="O77" s="6" t="s">
        <v>37</v>
      </c>
    </row>
    <row r="78" customFormat="false" ht="68.25" hidden="false" customHeight="true" outlineLevel="0" collapsed="false">
      <c r="A78" s="5" t="s">
        <v>777</v>
      </c>
      <c r="B78" s="6" t="s">
        <v>528</v>
      </c>
      <c r="C78" s="6" t="s">
        <v>25</v>
      </c>
      <c r="D78" s="6" t="s">
        <v>778</v>
      </c>
      <c r="E78" s="6" t="s">
        <v>779</v>
      </c>
      <c r="F78" s="6" t="s">
        <v>780</v>
      </c>
      <c r="G78" s="8" t="s">
        <v>52</v>
      </c>
      <c r="H78" s="6" t="s">
        <v>255</v>
      </c>
      <c r="I78" s="6" t="s">
        <v>781</v>
      </c>
      <c r="J78" s="6" t="s">
        <v>782</v>
      </c>
      <c r="K78" s="6" t="s">
        <v>783</v>
      </c>
      <c r="L78" s="6" t="s">
        <v>784</v>
      </c>
      <c r="M78" s="6" t="s">
        <v>785</v>
      </c>
      <c r="N78" s="6" t="s">
        <v>776</v>
      </c>
      <c r="O78" s="6" t="s">
        <v>37</v>
      </c>
    </row>
    <row r="79" customFormat="false" ht="74.25" hidden="false" customHeight="true" outlineLevel="0" collapsed="false">
      <c r="A79" s="5" t="s">
        <v>786</v>
      </c>
      <c r="B79" s="6" t="s">
        <v>528</v>
      </c>
      <c r="C79" s="6" t="s">
        <v>25</v>
      </c>
      <c r="D79" s="6" t="s">
        <v>787</v>
      </c>
      <c r="E79" s="6" t="s">
        <v>788</v>
      </c>
      <c r="F79" s="6" t="s">
        <v>789</v>
      </c>
      <c r="G79" s="9" t="s">
        <v>73</v>
      </c>
      <c r="H79" s="6" t="s">
        <v>266</v>
      </c>
      <c r="I79" s="6" t="s">
        <v>790</v>
      </c>
      <c r="J79" s="6" t="s">
        <v>268</v>
      </c>
      <c r="K79" s="6" t="s">
        <v>791</v>
      </c>
      <c r="L79" s="6" t="s">
        <v>792</v>
      </c>
      <c r="M79" s="6" t="s">
        <v>271</v>
      </c>
      <c r="N79" s="6" t="s">
        <v>776</v>
      </c>
      <c r="O79" s="6" t="s">
        <v>37</v>
      </c>
    </row>
    <row r="80" customFormat="false" ht="68.25" hidden="false" customHeight="true" outlineLevel="0" collapsed="false">
      <c r="A80" s="5" t="s">
        <v>793</v>
      </c>
      <c r="B80" s="6" t="s">
        <v>528</v>
      </c>
      <c r="C80" s="6" t="s">
        <v>541</v>
      </c>
      <c r="D80" s="6" t="s">
        <v>794</v>
      </c>
      <c r="E80" s="6" t="s">
        <v>795</v>
      </c>
      <c r="F80" s="6" t="s">
        <v>796</v>
      </c>
      <c r="G80" s="7" t="s">
        <v>29</v>
      </c>
      <c r="H80" s="6" t="s">
        <v>276</v>
      </c>
      <c r="I80" s="6" t="s">
        <v>797</v>
      </c>
      <c r="J80" s="6" t="s">
        <v>798</v>
      </c>
      <c r="K80" s="6" t="s">
        <v>799</v>
      </c>
      <c r="L80" s="6" t="s">
        <v>800</v>
      </c>
      <c r="M80" s="6" t="s">
        <v>801</v>
      </c>
      <c r="N80" s="6" t="s">
        <v>776</v>
      </c>
      <c r="O80" s="6" t="s">
        <v>37</v>
      </c>
    </row>
    <row r="81" customFormat="false" ht="74.25" hidden="false" customHeight="true" outlineLevel="0" collapsed="false">
      <c r="A81" s="5" t="s">
        <v>802</v>
      </c>
      <c r="B81" s="6" t="s">
        <v>528</v>
      </c>
      <c r="C81" s="6" t="s">
        <v>25</v>
      </c>
      <c r="D81" s="6" t="s">
        <v>803</v>
      </c>
      <c r="E81" s="6" t="s">
        <v>804</v>
      </c>
      <c r="F81" s="6" t="s">
        <v>805</v>
      </c>
      <c r="G81" s="8" t="s">
        <v>52</v>
      </c>
      <c r="H81" s="6" t="s">
        <v>330</v>
      </c>
      <c r="I81" s="6" t="s">
        <v>806</v>
      </c>
      <c r="J81" s="6" t="s">
        <v>807</v>
      </c>
      <c r="K81" s="6" t="s">
        <v>808</v>
      </c>
      <c r="L81" s="6" t="s">
        <v>809</v>
      </c>
      <c r="M81" s="6" t="s">
        <v>810</v>
      </c>
      <c r="N81" s="6" t="s">
        <v>811</v>
      </c>
      <c r="O81" s="6" t="s">
        <v>37</v>
      </c>
    </row>
    <row r="82" customFormat="false" ht="74.25" hidden="false" customHeight="true" outlineLevel="0" collapsed="false">
      <c r="A82" s="5" t="s">
        <v>812</v>
      </c>
      <c r="B82" s="6" t="s">
        <v>528</v>
      </c>
      <c r="C82" s="6" t="s">
        <v>25</v>
      </c>
      <c r="D82" s="6" t="s">
        <v>317</v>
      </c>
      <c r="E82" s="6" t="s">
        <v>813</v>
      </c>
      <c r="F82" s="6" t="s">
        <v>814</v>
      </c>
      <c r="G82" s="7" t="s">
        <v>29</v>
      </c>
      <c r="H82" s="6" t="s">
        <v>320</v>
      </c>
      <c r="I82" s="6" t="s">
        <v>815</v>
      </c>
      <c r="J82" s="6" t="s">
        <v>816</v>
      </c>
      <c r="K82" s="6" t="s">
        <v>817</v>
      </c>
      <c r="L82" s="6" t="s">
        <v>818</v>
      </c>
      <c r="M82" s="6" t="s">
        <v>819</v>
      </c>
      <c r="N82" s="6" t="s">
        <v>811</v>
      </c>
      <c r="O82" s="6" t="s">
        <v>37</v>
      </c>
    </row>
  </sheetData>
  <dataValidations count="3">
    <dataValidation allowBlank="false" errorStyle="stop" operator="between" showDropDown="false" showErrorMessage="false" showInputMessage="false" sqref="G2:G500" type="list">
      <formula1>"Cao,Trung,Thấp"</formula1>
      <formula2>0</formula2>
    </dataValidation>
    <dataValidation allowBlank="false" errorStyle="stop" operator="between" showDropDown="false" showErrorMessage="false" showInputMessage="false" sqref="O2:O500" type="list">
      <formula1>"Mới,Đang làm,Đã sửa,Không sửa"</formula1>
      <formula2>0</formula2>
    </dataValidation>
    <dataValidation allowBlank="false" errorStyle="stop" operator="between" showDropDown="false" showErrorMessage="false" showInputMessage="false" sqref="C2:C500" type="list">
      <formula1>"Phát Tài,Echo,SaaS"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5" min="2" style="1" width="12"/>
  </cols>
  <sheetData>
    <row r="1" customFormat="false" ht="15" hidden="false" customHeight="true" outlineLevel="0" collapsed="false">
      <c r="A1" s="10" t="s">
        <v>15</v>
      </c>
      <c r="B1" s="10" t="s">
        <v>52</v>
      </c>
      <c r="C1" s="10" t="s">
        <v>29</v>
      </c>
      <c r="D1" s="10" t="s">
        <v>73</v>
      </c>
      <c r="E1" s="10" t="s">
        <v>820</v>
      </c>
    </row>
    <row r="2" customFormat="false" ht="15" hidden="false" customHeight="true" outlineLevel="0" collapsed="false">
      <c r="A2" s="11" t="s">
        <v>372</v>
      </c>
      <c r="B2" s="11" t="n">
        <f aca="false">COUNTIFS('Bug List'!$H:$H,$A2,'Bug List'!$G:$G,"Cao")</f>
        <v>0</v>
      </c>
      <c r="C2" s="11" t="n">
        <f aca="false">COUNTIFS('Bug List'!$H:$H,$A2,'Bug List'!$G:$G,"Trung")</f>
        <v>1</v>
      </c>
      <c r="D2" s="11" t="n">
        <f aca="false">COUNTIFS('Bug List'!$H:$H,$A2,'Bug List'!$G:$G,"Thấp")</f>
        <v>1</v>
      </c>
      <c r="E2" s="12" t="n">
        <f aca="false">SUM(B2:D2)</f>
        <v>2</v>
      </c>
    </row>
    <row r="3" customFormat="false" ht="15" hidden="false" customHeight="true" outlineLevel="0" collapsed="false">
      <c r="A3" s="11" t="s">
        <v>70</v>
      </c>
      <c r="B3" s="11" t="n">
        <f aca="false">COUNTIFS('Bug List'!$H:$H,$A3,'Bug List'!$G:$G,"Cao")</f>
        <v>0</v>
      </c>
      <c r="C3" s="11" t="n">
        <f aca="false">COUNTIFS('Bug List'!$H:$H,$A3,'Bug List'!$G:$G,"Trung")</f>
        <v>0</v>
      </c>
      <c r="D3" s="11" t="n">
        <f aca="false">COUNTIFS('Bug List'!$H:$H,$A3,'Bug List'!$G:$G,"Thấp")</f>
        <v>3</v>
      </c>
      <c r="E3" s="12" t="n">
        <f aca="false">SUM(B3:D3)</f>
        <v>3</v>
      </c>
    </row>
    <row r="4" customFormat="false" ht="15" hidden="false" customHeight="true" outlineLevel="0" collapsed="false">
      <c r="A4" s="11" t="s">
        <v>563</v>
      </c>
      <c r="B4" s="11" t="n">
        <f aca="false">COUNTIFS('Bug List'!$H:$H,$A4,'Bug List'!$G:$G,"Cao")</f>
        <v>4</v>
      </c>
      <c r="C4" s="11" t="n">
        <f aca="false">COUNTIFS('Bug List'!$H:$H,$A4,'Bug List'!$G:$G,"Trung")</f>
        <v>1</v>
      </c>
      <c r="D4" s="11" t="n">
        <f aca="false">COUNTIFS('Bug List'!$H:$H,$A4,'Bug List'!$G:$G,"Thấp")</f>
        <v>0</v>
      </c>
      <c r="E4" s="12" t="n">
        <f aca="false">SUM(B4:D4)</f>
        <v>5</v>
      </c>
    </row>
    <row r="5" customFormat="false" ht="15" hidden="false" customHeight="true" outlineLevel="0" collapsed="false">
      <c r="A5" s="11" t="s">
        <v>608</v>
      </c>
      <c r="B5" s="11" t="n">
        <f aca="false">COUNTIFS('Bug List'!$H:$H,$A5,'Bug List'!$G:$G,"Cao")</f>
        <v>0</v>
      </c>
      <c r="C5" s="11" t="n">
        <f aca="false">COUNTIFS('Bug List'!$H:$H,$A5,'Bug List'!$G:$G,"Trung")</f>
        <v>0</v>
      </c>
      <c r="D5" s="11" t="n">
        <f aca="false">COUNTIFS('Bug List'!$H:$H,$A5,'Bug List'!$G:$G,"Thấp")</f>
        <v>1</v>
      </c>
      <c r="E5" s="12" t="n">
        <f aca="false">SUM(B5:D5)</f>
        <v>1</v>
      </c>
    </row>
    <row r="6" customFormat="false" ht="15" hidden="false" customHeight="true" outlineLevel="0" collapsed="false">
      <c r="A6" s="11" t="s">
        <v>697</v>
      </c>
      <c r="B6" s="11" t="n">
        <f aca="false">COUNTIFS('Bug List'!$H:$H,$A6,'Bug List'!$G:$G,"Cao")</f>
        <v>0</v>
      </c>
      <c r="C6" s="11" t="n">
        <f aca="false">COUNTIFS('Bug List'!$H:$H,$A6,'Bug List'!$G:$G,"Trung")</f>
        <v>1</v>
      </c>
      <c r="D6" s="11" t="n">
        <f aca="false">COUNTIFS('Bug List'!$H:$H,$A6,'Bug List'!$G:$G,"Thấp")</f>
        <v>0</v>
      </c>
      <c r="E6" s="12" t="n">
        <f aca="false">SUM(B6:D6)</f>
        <v>1</v>
      </c>
    </row>
    <row r="7" customFormat="false" ht="15" hidden="false" customHeight="true" outlineLevel="0" collapsed="false">
      <c r="A7" s="11" t="s">
        <v>330</v>
      </c>
      <c r="B7" s="11" t="n">
        <f aca="false">COUNTIFS('Bug List'!$H:$H,$A7,'Bug List'!$G:$G,"Cao")</f>
        <v>1</v>
      </c>
      <c r="C7" s="11" t="n">
        <f aca="false">COUNTIFS('Bug List'!$H:$H,$A7,'Bug List'!$G:$G,"Trung")</f>
        <v>0</v>
      </c>
      <c r="D7" s="11" t="n">
        <f aca="false">COUNTIFS('Bug List'!$H:$H,$A7,'Bug List'!$G:$G,"Thấp")</f>
        <v>1</v>
      </c>
      <c r="E7" s="12" t="n">
        <f aca="false">SUM(B7:D7)</f>
        <v>2</v>
      </c>
    </row>
    <row r="8" customFormat="false" ht="15" hidden="false" customHeight="true" outlineLevel="0" collapsed="false">
      <c r="A8" s="11" t="s">
        <v>53</v>
      </c>
      <c r="B8" s="11" t="n">
        <f aca="false">COUNTIFS('Bug List'!$H:$H,$A8,'Bug List'!$G:$G,"Cao")</f>
        <v>2</v>
      </c>
      <c r="C8" s="11" t="n">
        <f aca="false">COUNTIFS('Bug List'!$H:$H,$A8,'Bug List'!$G:$G,"Trung")</f>
        <v>0</v>
      </c>
      <c r="D8" s="11" t="n">
        <f aca="false">COUNTIFS('Bug List'!$H:$H,$A8,'Bug List'!$G:$G,"Thấp")</f>
        <v>2</v>
      </c>
      <c r="E8" s="12" t="n">
        <f aca="false">SUM(B8:D8)</f>
        <v>4</v>
      </c>
    </row>
    <row r="9" customFormat="false" ht="15" hidden="false" customHeight="true" outlineLevel="0" collapsed="false">
      <c r="A9" s="11" t="s">
        <v>180</v>
      </c>
      <c r="B9" s="11" t="n">
        <f aca="false">COUNTIFS('Bug List'!$H:$H,$A9,'Bug List'!$G:$G,"Cao")</f>
        <v>0</v>
      </c>
      <c r="C9" s="11" t="n">
        <f aca="false">COUNTIFS('Bug List'!$H:$H,$A9,'Bug List'!$G:$G,"Trung")</f>
        <v>1</v>
      </c>
      <c r="D9" s="11" t="n">
        <f aca="false">COUNTIFS('Bug List'!$H:$H,$A9,'Bug List'!$G:$G,"Thấp")</f>
        <v>0</v>
      </c>
      <c r="E9" s="12" t="n">
        <f aca="false">SUM(B9:D9)</f>
        <v>1</v>
      </c>
    </row>
    <row r="10" customFormat="false" ht="15" hidden="false" customHeight="true" outlineLevel="0" collapsed="false">
      <c r="A10" s="11" t="s">
        <v>533</v>
      </c>
      <c r="B10" s="11" t="n">
        <f aca="false">COUNTIFS('Bug List'!$H:$H,$A10,'Bug List'!$G:$G,"Cao")</f>
        <v>2</v>
      </c>
      <c r="C10" s="11" t="n">
        <f aca="false">COUNTIFS('Bug List'!$H:$H,$A10,'Bug List'!$G:$G,"Trung")</f>
        <v>1</v>
      </c>
      <c r="D10" s="11" t="n">
        <f aca="false">COUNTIFS('Bug List'!$H:$H,$A10,'Bug List'!$G:$G,"Thấp")</f>
        <v>1</v>
      </c>
      <c r="E10" s="12" t="n">
        <f aca="false">SUM(B10:D10)</f>
        <v>4</v>
      </c>
    </row>
    <row r="11" customFormat="false" ht="15" hidden="false" customHeight="true" outlineLevel="0" collapsed="false">
      <c r="A11" s="11" t="s">
        <v>298</v>
      </c>
      <c r="B11" s="11" t="n">
        <f aca="false">COUNTIFS('Bug List'!$H:$H,$A11,'Bug List'!$G:$G,"Cao")</f>
        <v>0</v>
      </c>
      <c r="C11" s="11" t="n">
        <f aca="false">COUNTIFS('Bug List'!$H:$H,$A11,'Bug List'!$G:$G,"Trung")</f>
        <v>3</v>
      </c>
      <c r="D11" s="11" t="n">
        <f aca="false">COUNTIFS('Bug List'!$H:$H,$A11,'Bug List'!$G:$G,"Thấp")</f>
        <v>2</v>
      </c>
      <c r="E11" s="12" t="n">
        <f aca="false">SUM(B11:D11)</f>
        <v>5</v>
      </c>
    </row>
    <row r="12" customFormat="false" ht="15" hidden="false" customHeight="true" outlineLevel="0" collapsed="false">
      <c r="A12" s="11" t="s">
        <v>255</v>
      </c>
      <c r="B12" s="11" t="n">
        <f aca="false">COUNTIFS('Bug List'!$H:$H,$A12,'Bug List'!$G:$G,"Cao")</f>
        <v>2</v>
      </c>
      <c r="C12" s="11" t="n">
        <f aca="false">COUNTIFS('Bug List'!$H:$H,$A12,'Bug List'!$G:$G,"Trung")</f>
        <v>0</v>
      </c>
      <c r="D12" s="11" t="n">
        <f aca="false">COUNTIFS('Bug List'!$H:$H,$A12,'Bug List'!$G:$G,"Thấp")</f>
        <v>0</v>
      </c>
      <c r="E12" s="12" t="n">
        <f aca="false">SUM(B12:D12)</f>
        <v>2</v>
      </c>
    </row>
    <row r="13" customFormat="false" ht="15" hidden="false" customHeight="true" outlineLevel="0" collapsed="false">
      <c r="A13" s="11" t="s">
        <v>770</v>
      </c>
      <c r="B13" s="11" t="n">
        <f aca="false">COUNTIFS('Bug List'!$H:$H,$A13,'Bug List'!$G:$G,"Cao")</f>
        <v>1</v>
      </c>
      <c r="C13" s="11" t="n">
        <f aca="false">COUNTIFS('Bug List'!$H:$H,$A13,'Bug List'!$G:$G,"Trung")</f>
        <v>0</v>
      </c>
      <c r="D13" s="11" t="n">
        <f aca="false">COUNTIFS('Bug List'!$H:$H,$A13,'Bug List'!$G:$G,"Thấp")</f>
        <v>0</v>
      </c>
      <c r="E13" s="12" t="n">
        <f aca="false">SUM(B13:D13)</f>
        <v>1</v>
      </c>
    </row>
    <row r="14" customFormat="false" ht="15" hidden="false" customHeight="true" outlineLevel="0" collapsed="false">
      <c r="A14" s="11" t="s">
        <v>460</v>
      </c>
      <c r="B14" s="11" t="n">
        <f aca="false">COUNTIFS('Bug List'!$H:$H,$A14,'Bug List'!$G:$G,"Cao")</f>
        <v>0</v>
      </c>
      <c r="C14" s="11" t="n">
        <f aca="false">COUNTIFS('Bug List'!$H:$H,$A14,'Bug List'!$G:$G,"Trung")</f>
        <v>1</v>
      </c>
      <c r="D14" s="11" t="n">
        <f aca="false">COUNTIFS('Bug List'!$H:$H,$A14,'Bug List'!$G:$G,"Thấp")</f>
        <v>1</v>
      </c>
      <c r="E14" s="12" t="n">
        <f aca="false">SUM(B14:D14)</f>
        <v>2</v>
      </c>
    </row>
    <row r="15" customFormat="false" ht="15" hidden="false" customHeight="true" outlineLevel="0" collapsed="false">
      <c r="A15" s="11" t="s">
        <v>287</v>
      </c>
      <c r="B15" s="11" t="n">
        <f aca="false">COUNTIFS('Bug List'!$H:$H,$A15,'Bug List'!$G:$G,"Cao")</f>
        <v>0</v>
      </c>
      <c r="C15" s="11" t="n">
        <f aca="false">COUNTIFS('Bug List'!$H:$H,$A15,'Bug List'!$G:$G,"Trung")</f>
        <v>1</v>
      </c>
      <c r="D15" s="11" t="n">
        <f aca="false">COUNTIFS('Bug List'!$H:$H,$A15,'Bug List'!$G:$G,"Thấp")</f>
        <v>0</v>
      </c>
      <c r="E15" s="12" t="n">
        <f aca="false">SUM(B15:D15)</f>
        <v>1</v>
      </c>
    </row>
    <row r="16" customFormat="false" ht="15" hidden="false" customHeight="true" outlineLevel="0" collapsed="false">
      <c r="A16" s="11" t="s">
        <v>708</v>
      </c>
      <c r="B16" s="11" t="n">
        <f aca="false">COUNTIFS('Bug List'!$H:$H,$A16,'Bug List'!$G:$G,"Cao")</f>
        <v>0</v>
      </c>
      <c r="C16" s="11" t="n">
        <f aca="false">COUNTIFS('Bug List'!$H:$H,$A16,'Bug List'!$G:$G,"Trung")</f>
        <v>1</v>
      </c>
      <c r="D16" s="11" t="n">
        <f aca="false">COUNTIFS('Bug List'!$H:$H,$A16,'Bug List'!$G:$G,"Thấp")</f>
        <v>0</v>
      </c>
      <c r="E16" s="12" t="n">
        <f aca="false">SUM(B16:D16)</f>
        <v>1</v>
      </c>
    </row>
    <row r="17" customFormat="false" ht="15" hidden="false" customHeight="true" outlineLevel="0" collapsed="false">
      <c r="A17" s="11" t="s">
        <v>149</v>
      </c>
      <c r="B17" s="11" t="n">
        <f aca="false">COUNTIFS('Bug List'!$H:$H,$A17,'Bug List'!$G:$G,"Cao")</f>
        <v>3</v>
      </c>
      <c r="C17" s="11" t="n">
        <f aca="false">COUNTIFS('Bug List'!$H:$H,$A17,'Bug List'!$G:$G,"Trung")</f>
        <v>3</v>
      </c>
      <c r="D17" s="11" t="n">
        <f aca="false">COUNTIFS('Bug List'!$H:$H,$A17,'Bug List'!$G:$G,"Thấp")</f>
        <v>0</v>
      </c>
      <c r="E17" s="12" t="n">
        <f aca="false">SUM(B17:D17)</f>
        <v>6</v>
      </c>
    </row>
    <row r="18" customFormat="false" ht="15" hidden="false" customHeight="true" outlineLevel="0" collapsed="false">
      <c r="A18" s="11" t="s">
        <v>449</v>
      </c>
      <c r="B18" s="11" t="n">
        <f aca="false">COUNTIFS('Bug List'!$H:$H,$A18,'Bug List'!$G:$G,"Cao")</f>
        <v>0</v>
      </c>
      <c r="C18" s="11" t="n">
        <f aca="false">COUNTIFS('Bug List'!$H:$H,$A18,'Bug List'!$G:$G,"Trung")</f>
        <v>1</v>
      </c>
      <c r="D18" s="11" t="n">
        <f aca="false">COUNTIFS('Bug List'!$H:$H,$A18,'Bug List'!$G:$G,"Thấp")</f>
        <v>0</v>
      </c>
      <c r="E18" s="12" t="n">
        <f aca="false">SUM(B18:D18)</f>
        <v>1</v>
      </c>
    </row>
    <row r="19" customFormat="false" ht="15" hidden="false" customHeight="true" outlineLevel="0" collapsed="false">
      <c r="A19" s="11" t="s">
        <v>309</v>
      </c>
      <c r="B19" s="11" t="n">
        <f aca="false">COUNTIFS('Bug List'!$H:$H,$A19,'Bug List'!$G:$G,"Cao")</f>
        <v>0</v>
      </c>
      <c r="C19" s="11" t="n">
        <f aca="false">COUNTIFS('Bug List'!$H:$H,$A19,'Bug List'!$G:$G,"Trung")</f>
        <v>0</v>
      </c>
      <c r="D19" s="11" t="n">
        <f aca="false">COUNTIFS('Bug List'!$H:$H,$A19,'Bug List'!$G:$G,"Thấp")</f>
        <v>2</v>
      </c>
      <c r="E19" s="12" t="n">
        <f aca="false">SUM(B19:D19)</f>
        <v>2</v>
      </c>
    </row>
    <row r="20" customFormat="false" ht="15" hidden="false" customHeight="true" outlineLevel="0" collapsed="false">
      <c r="A20" s="11" t="s">
        <v>83</v>
      </c>
      <c r="B20" s="11" t="n">
        <f aca="false">COUNTIFS('Bug List'!$H:$H,$A20,'Bug List'!$G:$G,"Cao")</f>
        <v>1</v>
      </c>
      <c r="C20" s="11" t="n">
        <f aca="false">COUNTIFS('Bug List'!$H:$H,$A20,'Bug List'!$G:$G,"Trung")</f>
        <v>0</v>
      </c>
      <c r="D20" s="11" t="n">
        <f aca="false">COUNTIFS('Bug List'!$H:$H,$A20,'Bug List'!$G:$G,"Thấp")</f>
        <v>0</v>
      </c>
      <c r="E20" s="12" t="n">
        <f aca="false">SUM(B20:D20)</f>
        <v>1</v>
      </c>
    </row>
    <row r="21" customFormat="false" ht="15" hidden="false" customHeight="true" outlineLevel="0" collapsed="false">
      <c r="A21" s="11" t="s">
        <v>266</v>
      </c>
      <c r="B21" s="11" t="n">
        <f aca="false">COUNTIFS('Bug List'!$H:$H,$A21,'Bug List'!$G:$G,"Cao")</f>
        <v>0</v>
      </c>
      <c r="C21" s="11" t="n">
        <f aca="false">COUNTIFS('Bug List'!$H:$H,$A21,'Bug List'!$G:$G,"Trung")</f>
        <v>0</v>
      </c>
      <c r="D21" s="11" t="n">
        <f aca="false">COUNTIFS('Bug List'!$H:$H,$A21,'Bug List'!$G:$G,"Thấp")</f>
        <v>2</v>
      </c>
      <c r="E21" s="12" t="n">
        <f aca="false">SUM(B21:D21)</f>
        <v>2</v>
      </c>
    </row>
    <row r="22" customFormat="false" ht="15" hidden="false" customHeight="true" outlineLevel="0" collapsed="false">
      <c r="A22" s="11" t="s">
        <v>719</v>
      </c>
      <c r="B22" s="11" t="n">
        <f aca="false">COUNTIFS('Bug List'!$H:$H,$A22,'Bug List'!$G:$G,"Cao")</f>
        <v>1</v>
      </c>
      <c r="C22" s="11" t="n">
        <f aca="false">COUNTIFS('Bug List'!$H:$H,$A22,'Bug List'!$G:$G,"Trung")</f>
        <v>2</v>
      </c>
      <c r="D22" s="11" t="n">
        <f aca="false">COUNTIFS('Bug List'!$H:$H,$A22,'Bug List'!$G:$G,"Thấp")</f>
        <v>1</v>
      </c>
      <c r="E22" s="12" t="n">
        <f aca="false">SUM(B22:D22)</f>
        <v>4</v>
      </c>
    </row>
    <row r="23" customFormat="false" ht="15" hidden="false" customHeight="true" outlineLevel="0" collapsed="false">
      <c r="A23" s="11" t="s">
        <v>320</v>
      </c>
      <c r="B23" s="11" t="n">
        <f aca="false">COUNTIFS('Bug List'!$H:$H,$A23,'Bug List'!$G:$G,"Cao")</f>
        <v>0</v>
      </c>
      <c r="C23" s="11" t="n">
        <f aca="false">COUNTIFS('Bug List'!$H:$H,$A23,'Bug List'!$G:$G,"Trung")</f>
        <v>2</v>
      </c>
      <c r="D23" s="11" t="n">
        <f aca="false">COUNTIFS('Bug List'!$H:$H,$A23,'Bug List'!$G:$G,"Thấp")</f>
        <v>0</v>
      </c>
      <c r="E23" s="12" t="n">
        <f aca="false">SUM(B23:D23)</f>
        <v>2</v>
      </c>
    </row>
    <row r="24" customFormat="false" ht="15" hidden="false" customHeight="true" outlineLevel="0" collapsed="false">
      <c r="A24" s="11" t="s">
        <v>498</v>
      </c>
      <c r="B24" s="11" t="n">
        <f aca="false">COUNTIFS('Bug List'!$H:$H,$A24,'Bug List'!$G:$G,"Cao")</f>
        <v>0</v>
      </c>
      <c r="C24" s="11" t="n">
        <f aca="false">COUNTIFS('Bug List'!$H:$H,$A24,'Bug List'!$G:$G,"Trung")</f>
        <v>1</v>
      </c>
      <c r="D24" s="11" t="n">
        <f aca="false">COUNTIFS('Bug List'!$H:$H,$A24,'Bug List'!$G:$G,"Thấp")</f>
        <v>0</v>
      </c>
      <c r="E24" s="12" t="n">
        <f aca="false">SUM(B24:D24)</f>
        <v>1</v>
      </c>
    </row>
    <row r="25" customFormat="false" ht="15" hidden="false" customHeight="true" outlineLevel="0" collapsed="false">
      <c r="A25" s="11" t="s">
        <v>115</v>
      </c>
      <c r="B25" s="11" t="n">
        <f aca="false">COUNTIFS('Bug List'!$H:$H,$A25,'Bug List'!$G:$G,"Cao")</f>
        <v>1</v>
      </c>
      <c r="C25" s="11" t="n">
        <f aca="false">COUNTIFS('Bug List'!$H:$H,$A25,'Bug List'!$G:$G,"Trung")</f>
        <v>0</v>
      </c>
      <c r="D25" s="11" t="n">
        <f aca="false">COUNTIFS('Bug List'!$H:$H,$A25,'Bug List'!$G:$G,"Thấp")</f>
        <v>0</v>
      </c>
      <c r="E25" s="12" t="n">
        <f aca="false">SUM(B25:D25)</f>
        <v>1</v>
      </c>
    </row>
    <row r="26" customFormat="false" ht="15" hidden="false" customHeight="true" outlineLevel="0" collapsed="false">
      <c r="A26" s="11" t="s">
        <v>201</v>
      </c>
      <c r="B26" s="11" t="n">
        <f aca="false">COUNTIFS('Bug List'!$H:$H,$A26,'Bug List'!$G:$G,"Cao")</f>
        <v>0</v>
      </c>
      <c r="C26" s="11" t="n">
        <f aca="false">COUNTIFS('Bug List'!$H:$H,$A26,'Bug List'!$G:$G,"Trung")</f>
        <v>1</v>
      </c>
      <c r="D26" s="11" t="n">
        <f aca="false">COUNTIFS('Bug List'!$H:$H,$A26,'Bug List'!$G:$G,"Thấp")</f>
        <v>0</v>
      </c>
      <c r="E26" s="12" t="n">
        <f aca="false">SUM(B26:D26)</f>
        <v>1</v>
      </c>
    </row>
    <row r="27" customFormat="false" ht="15" hidden="false" customHeight="true" outlineLevel="0" collapsed="false">
      <c r="A27" s="11" t="s">
        <v>428</v>
      </c>
      <c r="B27" s="11" t="n">
        <f aca="false">COUNTIFS('Bug List'!$H:$H,$A27,'Bug List'!$G:$G,"Cao")</f>
        <v>1</v>
      </c>
      <c r="C27" s="11" t="n">
        <f aca="false">COUNTIFS('Bug List'!$H:$H,$A27,'Bug List'!$G:$G,"Trung")</f>
        <v>0</v>
      </c>
      <c r="D27" s="11" t="n">
        <f aca="false">COUNTIFS('Bug List'!$H:$H,$A27,'Bug List'!$G:$G,"Thấp")</f>
        <v>0</v>
      </c>
      <c r="E27" s="12" t="n">
        <f aca="false">SUM(B27:D27)</f>
        <v>1</v>
      </c>
    </row>
    <row r="28" customFormat="false" ht="15" hidden="false" customHeight="true" outlineLevel="0" collapsed="false">
      <c r="A28" s="11" t="s">
        <v>361</v>
      </c>
      <c r="B28" s="11" t="n">
        <f aca="false">COUNTIFS('Bug List'!$H:$H,$A28,'Bug List'!$G:$G,"Cao")</f>
        <v>1</v>
      </c>
      <c r="C28" s="11" t="n">
        <f aca="false">COUNTIFS('Bug List'!$H:$H,$A28,'Bug List'!$G:$G,"Trung")</f>
        <v>3</v>
      </c>
      <c r="D28" s="11" t="n">
        <f aca="false">COUNTIFS('Bug List'!$H:$H,$A28,'Bug List'!$G:$G,"Thấp")</f>
        <v>0</v>
      </c>
      <c r="E28" s="12" t="n">
        <f aca="false">SUM(B28:D28)</f>
        <v>4</v>
      </c>
    </row>
    <row r="29" customFormat="false" ht="15" hidden="false" customHeight="true" outlineLevel="0" collapsed="false">
      <c r="A29" s="11" t="s">
        <v>243</v>
      </c>
      <c r="B29" s="11" t="n">
        <f aca="false">COUNTIFS('Bug List'!$H:$H,$A29,'Bug List'!$G:$G,"Cao")</f>
        <v>1</v>
      </c>
      <c r="C29" s="11" t="n">
        <f aca="false">COUNTIFS('Bug List'!$H:$H,$A29,'Bug List'!$G:$G,"Trung")</f>
        <v>0</v>
      </c>
      <c r="D29" s="11" t="n">
        <f aca="false">COUNTIFS('Bug List'!$H:$H,$A29,'Bug List'!$G:$G,"Thấp")</f>
        <v>0</v>
      </c>
      <c r="E29" s="12" t="n">
        <f aca="false">SUM(B29:D29)</f>
        <v>1</v>
      </c>
    </row>
    <row r="30" customFormat="false" ht="15" hidden="false" customHeight="true" outlineLevel="0" collapsed="false">
      <c r="A30" s="11" t="s">
        <v>30</v>
      </c>
      <c r="B30" s="11" t="n">
        <f aca="false">COUNTIFS('Bug List'!$H:$H,$A30,'Bug List'!$G:$G,"Cao")</f>
        <v>0</v>
      </c>
      <c r="C30" s="11" t="n">
        <f aca="false">COUNTIFS('Bug List'!$H:$H,$A30,'Bug List'!$G:$G,"Trung")</f>
        <v>5</v>
      </c>
      <c r="D30" s="11" t="n">
        <f aca="false">COUNTIFS('Bug List'!$H:$H,$A30,'Bug List'!$G:$G,"Thấp")</f>
        <v>0</v>
      </c>
      <c r="E30" s="12" t="n">
        <f aca="false">SUM(B30:D30)</f>
        <v>5</v>
      </c>
    </row>
    <row r="31" customFormat="false" ht="15" hidden="false" customHeight="true" outlineLevel="0" collapsed="false">
      <c r="A31" s="11" t="s">
        <v>105</v>
      </c>
      <c r="B31" s="11" t="n">
        <f aca="false">COUNTIFS('Bug List'!$H:$H,$A31,'Bug List'!$G:$G,"Cao")</f>
        <v>1</v>
      </c>
      <c r="C31" s="11" t="n">
        <f aca="false">COUNTIFS('Bug List'!$H:$H,$A31,'Bug List'!$G:$G,"Trung")</f>
        <v>0</v>
      </c>
      <c r="D31" s="11" t="n">
        <f aca="false">COUNTIFS('Bug List'!$H:$H,$A31,'Bug List'!$G:$G,"Thấp")</f>
        <v>1</v>
      </c>
      <c r="E31" s="12" t="n">
        <f aca="false">SUM(B31:D31)</f>
        <v>2</v>
      </c>
    </row>
    <row r="32" customFormat="false" ht="15" hidden="false" customHeight="true" outlineLevel="0" collapsed="false">
      <c r="A32" s="11" t="s">
        <v>644</v>
      </c>
      <c r="B32" s="11" t="n">
        <f aca="false">COUNTIFS('Bug List'!$H:$H,$A32,'Bug List'!$G:$G,"Cao")</f>
        <v>0</v>
      </c>
      <c r="C32" s="11" t="n">
        <f aca="false">COUNTIFS('Bug List'!$H:$H,$A32,'Bug List'!$G:$G,"Trung")</f>
        <v>0</v>
      </c>
      <c r="D32" s="11" t="n">
        <f aca="false">COUNTIFS('Bug List'!$H:$H,$A32,'Bug List'!$G:$G,"Thấp")</f>
        <v>1</v>
      </c>
      <c r="E32" s="12" t="n">
        <f aca="false">SUM(B32:D32)</f>
        <v>1</v>
      </c>
    </row>
    <row r="33" customFormat="false" ht="15" hidden="false" customHeight="true" outlineLevel="0" collapsed="false">
      <c r="A33" s="11" t="s">
        <v>478</v>
      </c>
      <c r="B33" s="11" t="n">
        <f aca="false">COUNTIFS('Bug List'!$H:$H,$A33,'Bug List'!$G:$G,"Cao")</f>
        <v>0</v>
      </c>
      <c r="C33" s="11" t="n">
        <f aca="false">COUNTIFS('Bug List'!$H:$H,$A33,'Bug List'!$G:$G,"Trung")</f>
        <v>0</v>
      </c>
      <c r="D33" s="11" t="n">
        <f aca="false">COUNTIFS('Bug List'!$H:$H,$A33,'Bug List'!$G:$G,"Thấp")</f>
        <v>2</v>
      </c>
      <c r="E33" s="12" t="n">
        <f aca="false">SUM(B33:D33)</f>
        <v>2</v>
      </c>
    </row>
    <row r="34" customFormat="false" ht="15" hidden="false" customHeight="true" outlineLevel="0" collapsed="false">
      <c r="A34" s="11" t="s">
        <v>509</v>
      </c>
      <c r="B34" s="11" t="n">
        <f aca="false">COUNTIFS('Bug List'!$H:$H,$A34,'Bug List'!$G:$G,"Cao")</f>
        <v>0</v>
      </c>
      <c r="C34" s="11" t="n">
        <f aca="false">COUNTIFS('Bug List'!$H:$H,$A34,'Bug List'!$G:$G,"Trung")</f>
        <v>1</v>
      </c>
      <c r="D34" s="11" t="n">
        <f aca="false">COUNTIFS('Bug List'!$H:$H,$A34,'Bug List'!$G:$G,"Thấp")</f>
        <v>0</v>
      </c>
      <c r="E34" s="12" t="n">
        <f aca="false">SUM(B34:D34)</f>
        <v>1</v>
      </c>
    </row>
    <row r="35" customFormat="false" ht="15" hidden="false" customHeight="true" outlineLevel="0" collapsed="false">
      <c r="A35" s="11" t="s">
        <v>520</v>
      </c>
      <c r="B35" s="11" t="n">
        <f aca="false">COUNTIFS('Bug List'!$H:$H,$A35,'Bug List'!$G:$G,"Cao")</f>
        <v>0</v>
      </c>
      <c r="C35" s="11" t="n">
        <f aca="false">COUNTIFS('Bug List'!$H:$H,$A35,'Bug List'!$G:$G,"Trung")</f>
        <v>1</v>
      </c>
      <c r="D35" s="11" t="n">
        <f aca="false">COUNTIFS('Bug List'!$H:$H,$A35,'Bug List'!$G:$G,"Thấp")</f>
        <v>0</v>
      </c>
      <c r="E35" s="12" t="n">
        <f aca="false">SUM(B35:D35)</f>
        <v>1</v>
      </c>
    </row>
    <row r="36" customFormat="false" ht="15" hidden="false" customHeight="true" outlineLevel="0" collapsed="false">
      <c r="A36" s="11" t="s">
        <v>222</v>
      </c>
      <c r="B36" s="11" t="n">
        <f aca="false">COUNTIFS('Bug List'!$H:$H,$A36,'Bug List'!$G:$G,"Cao")</f>
        <v>0</v>
      </c>
      <c r="C36" s="11" t="n">
        <f aca="false">COUNTIFS('Bug List'!$H:$H,$A36,'Bug List'!$G:$G,"Trung")</f>
        <v>1</v>
      </c>
      <c r="D36" s="11" t="n">
        <f aca="false">COUNTIFS('Bug List'!$H:$H,$A36,'Bug List'!$G:$G,"Thấp")</f>
        <v>0</v>
      </c>
      <c r="E36" s="12" t="n">
        <f aca="false">SUM(B36:D36)</f>
        <v>1</v>
      </c>
    </row>
    <row r="37" customFormat="false" ht="15" hidden="false" customHeight="true" outlineLevel="0" collapsed="false">
      <c r="A37" s="11" t="s">
        <v>94</v>
      </c>
      <c r="B37" s="11" t="n">
        <f aca="false">COUNTIFS('Bug List'!$H:$H,$A37,'Bug List'!$G:$G,"Cao")</f>
        <v>1</v>
      </c>
      <c r="C37" s="11" t="n">
        <f aca="false">COUNTIFS('Bug List'!$H:$H,$A37,'Bug List'!$G:$G,"Trung")</f>
        <v>0</v>
      </c>
      <c r="D37" s="11" t="n">
        <f aca="false">COUNTIFS('Bug List'!$H:$H,$A37,'Bug List'!$G:$G,"Thấp")</f>
        <v>0</v>
      </c>
      <c r="E37" s="12" t="n">
        <f aca="false">SUM(B37:D37)</f>
        <v>1</v>
      </c>
    </row>
    <row r="38" customFormat="false" ht="15" hidden="false" customHeight="true" outlineLevel="0" collapsed="false">
      <c r="A38" s="11" t="s">
        <v>160</v>
      </c>
      <c r="B38" s="11" t="n">
        <f aca="false">COUNTIFS('Bug List'!$H:$H,$A38,'Bug List'!$G:$G,"Cao")</f>
        <v>1</v>
      </c>
      <c r="C38" s="11" t="n">
        <f aca="false">COUNTIFS('Bug List'!$H:$H,$A38,'Bug List'!$G:$G,"Trung")</f>
        <v>2</v>
      </c>
      <c r="D38" s="11" t="n">
        <f aca="false">COUNTIFS('Bug List'!$H:$H,$A38,'Bug List'!$G:$G,"Thấp")</f>
        <v>0</v>
      </c>
      <c r="E38" s="12" t="n">
        <f aca="false">SUM(B38:D38)</f>
        <v>3</v>
      </c>
    </row>
    <row r="39" customFormat="false" ht="15" hidden="false" customHeight="true" outlineLevel="0" collapsed="false">
      <c r="A39" s="11" t="s">
        <v>276</v>
      </c>
      <c r="B39" s="11" t="n">
        <f aca="false">COUNTIFS('Bug List'!$H:$H,$A39,'Bug List'!$G:$G,"Cao")</f>
        <v>0</v>
      </c>
      <c r="C39" s="11" t="n">
        <f aca="false">COUNTIFS('Bug List'!$H:$H,$A39,'Bug List'!$G:$G,"Trung")</f>
        <v>2</v>
      </c>
      <c r="D39" s="11" t="n">
        <f aca="false">COUNTIFS('Bug List'!$H:$H,$A39,'Bug List'!$G:$G,"Thấp")</f>
        <v>0</v>
      </c>
      <c r="E39" s="12" t="n">
        <f aca="false">SUM(B39:D39)</f>
        <v>2</v>
      </c>
    </row>
    <row r="40" customFormat="false" ht="15" hidden="false" customHeight="true" outlineLevel="0" collapsed="false">
      <c r="A40" s="12" t="s">
        <v>820</v>
      </c>
      <c r="B40" s="12" t="n">
        <f aca="false">SUM(B2:B39)</f>
        <v>24</v>
      </c>
      <c r="C40" s="12" t="n">
        <f aca="false">SUM(C2:C39)</f>
        <v>36</v>
      </c>
      <c r="D40" s="12" t="n">
        <f aca="false">SUM(D2:D39)</f>
        <v>21</v>
      </c>
      <c r="E40" s="12" t="n">
        <f aca="false">SUM(E2:E39)</f>
        <v>81</v>
      </c>
    </row>
    <row r="41" customFormat="false" ht="15" hidden="false" customHeight="true" outlineLevel="0" collapsed="false"/>
    <row r="42" customFormat="false" ht="15" hidden="false" customHeight="true" outlineLevel="0" collapsed="false">
      <c r="A42" s="12" t="s">
        <v>22</v>
      </c>
      <c r="B42" s="12" t="s">
        <v>821</v>
      </c>
    </row>
    <row r="43" customFormat="false" ht="15" hidden="false" customHeight="true" outlineLevel="0" collapsed="false">
      <c r="A43" s="11" t="s">
        <v>822</v>
      </c>
      <c r="B43" s="11" t="n">
        <f aca="false">COUNTIF('Bug List'!$O:$O,A43)</f>
        <v>0</v>
      </c>
    </row>
    <row r="44" customFormat="false" ht="15" hidden="false" customHeight="true" outlineLevel="0" collapsed="false">
      <c r="A44" s="11" t="s">
        <v>444</v>
      </c>
      <c r="B44" s="11" t="n">
        <f aca="false">COUNTIF('Bug List'!$O:$O,A44)</f>
        <v>2</v>
      </c>
    </row>
    <row r="45" customFormat="false" ht="15" hidden="false" customHeight="true" outlineLevel="0" collapsed="false">
      <c r="A45" s="11" t="s">
        <v>37</v>
      </c>
      <c r="B45" s="11" t="n">
        <f aca="false">COUNTIF('Bug List'!$O:$O,A45)</f>
        <v>79</v>
      </c>
    </row>
    <row r="46" customFormat="false" ht="15" hidden="false" customHeight="true" outlineLevel="0" collapsed="false">
      <c r="A46" s="11" t="s">
        <v>823</v>
      </c>
      <c r="B46" s="11" t="n">
        <f aca="false">COUNTIF('Bug List'!$O:$O,A46)</f>
        <v>0</v>
      </c>
    </row>
    <row r="47" customFormat="false" ht="15" hidden="false" customHeight="true" outlineLevel="0" collapsed="false"/>
    <row r="48" customFormat="false" ht="15" hidden="false" customHeight="false" outlineLevel="0" collapsed="false">
      <c r="A48" s="13" t="s">
        <v>824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0"/>
  </cols>
  <sheetData>
    <row r="1" customFormat="false" ht="15" hidden="false" customHeight="true" outlineLevel="0" collapsed="false">
      <c r="A1" s="10" t="s">
        <v>825</v>
      </c>
      <c r="B1" s="10" t="s">
        <v>826</v>
      </c>
    </row>
    <row r="2" customFormat="false" ht="15" hidden="false" customHeight="true" outlineLevel="0" collapsed="false">
      <c r="A2" s="14" t="s">
        <v>149</v>
      </c>
      <c r="B2" s="3" t="s">
        <v>827</v>
      </c>
    </row>
    <row r="3" customFormat="false" ht="26.25" hidden="false" customHeight="true" outlineLevel="0" collapsed="false">
      <c r="A3" s="14" t="s">
        <v>53</v>
      </c>
      <c r="B3" s="3" t="s">
        <v>828</v>
      </c>
    </row>
    <row r="4" customFormat="false" ht="15" hidden="false" customHeight="true" outlineLevel="0" collapsed="false">
      <c r="A4" s="14" t="s">
        <v>829</v>
      </c>
      <c r="B4" s="3" t="s">
        <v>830</v>
      </c>
    </row>
    <row r="5" customFormat="false" ht="15" hidden="false" customHeight="true" outlineLevel="0" collapsed="false">
      <c r="A5" s="14" t="s">
        <v>115</v>
      </c>
      <c r="B5" s="3" t="s">
        <v>831</v>
      </c>
    </row>
    <row r="6" customFormat="false" ht="15" hidden="false" customHeight="true" outlineLevel="0" collapsed="false">
      <c r="A6" s="14" t="s">
        <v>832</v>
      </c>
      <c r="B6" s="3" t="s">
        <v>833</v>
      </c>
    </row>
    <row r="7" customFormat="false" ht="15" hidden="false" customHeight="true" outlineLevel="0" collapsed="false">
      <c r="A7" s="14" t="s">
        <v>834</v>
      </c>
      <c r="B7" s="3" t="s">
        <v>835</v>
      </c>
    </row>
    <row r="8" customFormat="false" ht="15" hidden="false" customHeight="true" outlineLevel="0" collapsed="false">
      <c r="A8" s="14" t="s">
        <v>836</v>
      </c>
      <c r="B8" s="3" t="s">
        <v>837</v>
      </c>
    </row>
    <row r="9" customFormat="false" ht="15" hidden="false" customHeight="true" outlineLevel="0" collapsed="false">
      <c r="A9" s="14" t="s">
        <v>838</v>
      </c>
      <c r="B9" s="3" t="s">
        <v>839</v>
      </c>
    </row>
    <row r="10" customFormat="false" ht="15" hidden="false" customHeight="true" outlineLevel="0" collapsed="false">
      <c r="A10" s="14" t="s">
        <v>840</v>
      </c>
      <c r="B10" s="3" t="s">
        <v>841</v>
      </c>
    </row>
    <row r="11" customFormat="false" ht="15" hidden="false" customHeight="true" outlineLevel="0" collapsed="false">
      <c r="A11" s="14" t="s">
        <v>842</v>
      </c>
      <c r="B11" s="3" t="s">
        <v>843</v>
      </c>
    </row>
    <row r="12" customFormat="false" ht="15" hidden="false" customHeight="true" outlineLevel="0" collapsed="false">
      <c r="A12" s="14" t="s">
        <v>844</v>
      </c>
      <c r="B12" s="3" t="s">
        <v>845</v>
      </c>
    </row>
    <row r="13" customFormat="false" ht="15" hidden="false" customHeight="true" outlineLevel="0" collapsed="false">
      <c r="A13" s="14" t="s">
        <v>846</v>
      </c>
      <c r="B13" s="3" t="s">
        <v>847</v>
      </c>
    </row>
    <row r="14" customFormat="false" ht="26.25" hidden="false" customHeight="true" outlineLevel="0" collapsed="false">
      <c r="A14" s="14" t="s">
        <v>848</v>
      </c>
      <c r="B14" s="3" t="s">
        <v>849</v>
      </c>
    </row>
    <row r="15" customFormat="false" ht="15" hidden="false" customHeight="true" outlineLevel="0" collapsed="false">
      <c r="A15" s="14" t="s">
        <v>850</v>
      </c>
      <c r="B15" s="3" t="s">
        <v>851</v>
      </c>
    </row>
    <row r="16" customFormat="false" ht="26.25" hidden="false" customHeight="true" outlineLevel="0" collapsed="false">
      <c r="A16" s="14" t="s">
        <v>852</v>
      </c>
      <c r="B16" s="3" t="s">
        <v>853</v>
      </c>
    </row>
    <row r="17" customFormat="false" ht="15" hidden="false" customHeight="true" outlineLevel="0" collapsed="false">
      <c r="A17" s="14" t="s">
        <v>287</v>
      </c>
      <c r="B17" s="3" t="s">
        <v>854</v>
      </c>
    </row>
    <row r="18" customFormat="false" ht="15" hidden="false" customHeight="true" outlineLevel="0" collapsed="false">
      <c r="A18" s="14" t="s">
        <v>855</v>
      </c>
      <c r="B18" s="3" t="s">
        <v>856</v>
      </c>
    </row>
    <row r="19" customFormat="false" ht="26.25" hidden="false" customHeight="true" outlineLevel="0" collapsed="false">
      <c r="A19" s="14" t="s">
        <v>857</v>
      </c>
      <c r="B19" s="3" t="s">
        <v>858</v>
      </c>
    </row>
    <row r="20" customFormat="false" ht="15" hidden="false" customHeight="true" outlineLevel="0" collapsed="false">
      <c r="A20" s="14" t="s">
        <v>859</v>
      </c>
      <c r="B20" s="3" t="s">
        <v>860</v>
      </c>
    </row>
    <row r="21" customFormat="false" ht="26.25" hidden="false" customHeight="true" outlineLevel="0" collapsed="false">
      <c r="A21" s="14" t="s">
        <v>428</v>
      </c>
      <c r="B21" s="3" t="s">
        <v>861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2026-10-03T08:46:48Z</dcterms:created>
  <dc:creator>openpyxl</dc:creator>
  <dc:description/>
  <dc:language>en-US</dc:language>
  <cp:lastModifiedBy/>
  <dcterms:modified xsi:type="dcterms:W3CDTF">2026-10-14T04:19:27Z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